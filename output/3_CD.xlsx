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inlineStr">
        <is>
          <t>3</t>
        </is>
      </c>
    </row>
    <row r="3" ht="15" customHeight="1" s="10">
      <c r="A3" s="12" t="inlineStr">
        <is>
          <t>Department</t>
        </is>
      </c>
      <c r="B3" s="13" t="inlineStr">
        <is>
          <t>Anodizing</t>
        </is>
      </c>
    </row>
    <row r="5" ht="15" customHeight="1" s="10">
      <c r="A5" s="12" t="inlineStr">
        <is>
          <t>Name</t>
        </is>
      </c>
      <c r="B5" s="13" t="inlineStr">
        <is>
          <t>CD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10000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1833.025</v>
      </c>
    </row>
    <row r="15" ht="15" customHeight="1" s="10">
      <c r="A15" s="16" t="inlineStr">
        <is>
          <t>Total for EPF</t>
        </is>
      </c>
      <c r="B15" s="17">
        <f>SUM(B10:B14)</f>
        <v/>
      </c>
    </row>
    <row r="17" ht="15" customHeight="1" s="10">
      <c r="A17" s="12" t="inlineStr">
        <is>
          <t>Night Shift</t>
        </is>
      </c>
      <c r="B17" s="15" t="n">
        <v>9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1362</v>
      </c>
    </row>
    <row r="24" ht="15" customHeight="1" s="10">
      <c r="A24" s="12" t="inlineStr">
        <is>
          <t>Salary Arrears Deduction</t>
        </is>
      </c>
      <c r="B24" s="15" t="n">
        <v>9080</v>
      </c>
    </row>
    <row r="25" ht="15" customHeight="1" s="10">
      <c r="A25" s="12" t="inlineStr">
        <is>
          <t>Over Time -</t>
        </is>
      </c>
      <c r="B25" s="15" t="n">
        <v>62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3000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6103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17406.73</v>
      </c>
    </row>
    <row r="35" ht="15" customHeight="1" s="10">
      <c r="A35" s="16" t="inlineStr">
        <is>
          <t>Gross Salary</t>
        </is>
      </c>
      <c r="B35" s="18">
        <f>B15+SUM(B17:B34)</f>
        <v/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>
        <f>B15*0.08</f>
        <v/>
      </c>
    </row>
    <row r="39" ht="15" customHeight="1" s="10">
      <c r="A39" s="12" t="inlineStr">
        <is>
          <t>Salary Advance</t>
        </is>
      </c>
      <c r="B39" s="15" t="n">
        <v>12000</v>
      </c>
    </row>
    <row r="40" ht="15" customHeight="1" s="10">
      <c r="A40" s="12" t="inlineStr">
        <is>
          <t>Festival Advance</t>
        </is>
      </c>
      <c r="B40" s="15" t="n">
        <v>3500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341.8439716312057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200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25</v>
      </c>
    </row>
    <row r="49" ht="15" customHeight="1" s="10">
      <c r="A49" s="16" t="inlineStr">
        <is>
          <t>Total Deductions</t>
        </is>
      </c>
      <c r="B49" s="17">
        <f>SUM(B38:B48)</f>
        <v/>
      </c>
    </row>
    <row r="50" ht="15" customHeight="1" s="10">
      <c r="A50" s="16" t="inlineStr">
        <is>
          <t>Net Salary</t>
        </is>
      </c>
      <c r="B50" s="17">
        <f>B35-B49</f>
        <v/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>
        <f>B15*0.12</f>
        <v/>
      </c>
    </row>
    <row r="54" ht="15" customHeight="1" s="10">
      <c r="A54" s="12" t="inlineStr">
        <is>
          <t>ETF 3%</t>
        </is>
      </c>
      <c r="B54" s="15">
        <f>B15*0.03</f>
        <v/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75</v>
      </c>
    </row>
    <row r="57" ht="15" customHeight="1" s="10">
      <c r="A57" s="12" t="inlineStr">
        <is>
          <t>Rate per D.O/T</t>
        </is>
      </c>
      <c r="B57" s="15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2026-07-13T08:42:48Z</dcterms:modified>
  <cp:revision>0</cp:revision>
</cp:coreProperties>
</file>