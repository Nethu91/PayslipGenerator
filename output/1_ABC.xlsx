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yslip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double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2" fontId="5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left" vertical="bottom"/>
    </xf>
    <xf numFmtId="2" fontId="6" fillId="0" borderId="0" applyAlignment="1" pivotButton="0" quotePrefix="0" xfId="0">
      <alignment horizontal="right" vertical="bottom"/>
    </xf>
    <xf numFmtId="2" fontId="6" fillId="0" borderId="2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2" fontId="5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left" vertical="bottom"/>
    </xf>
    <xf numFmtId="2" fontId="6" fillId="0" borderId="0" applyAlignment="1" pivotButton="0" quotePrefix="0" xfId="0">
      <alignment horizontal="right" vertical="bottom"/>
    </xf>
    <xf numFmtId="2" fontId="6" fillId="0" borderId="2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5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" min="1" max="1"/>
    <col width="14" customWidth="1" style="9" min="2" max="2"/>
    <col width="2" customWidth="1" style="9" min="3" max="3"/>
    <col width="14" customWidth="1" style="9" min="4" max="4"/>
  </cols>
  <sheetData>
    <row r="1" ht="15" customHeight="1" s="10">
      <c r="A1" s="11" t="inlineStr">
        <is>
          <t>Swisstek Aluminium Limited</t>
        </is>
      </c>
    </row>
    <row r="2" ht="15" customHeight="1" s="10">
      <c r="A2" s="12" t="inlineStr">
        <is>
          <t>EPF</t>
        </is>
      </c>
      <c r="B2" s="13" t="inlineStr">
        <is>
          <t>1</t>
        </is>
      </c>
    </row>
    <row r="3" ht="15" customHeight="1" s="10">
      <c r="A3" s="12" t="inlineStr">
        <is>
          <t>Department</t>
        </is>
      </c>
      <c r="B3" s="13" t="inlineStr">
        <is>
          <t>Accounts</t>
        </is>
      </c>
    </row>
    <row r="5" ht="15" customHeight="1" s="10">
      <c r="A5" s="12" t="inlineStr">
        <is>
          <t>Name</t>
        </is>
      </c>
      <c r="B5" s="13" t="inlineStr">
        <is>
          <t>ABC</t>
        </is>
      </c>
    </row>
    <row r="6" ht="15" customHeight="1" s="10">
      <c r="A6" s="12" t="inlineStr">
        <is>
          <t xml:space="preserve">        May, 2026</t>
        </is>
      </c>
      <c r="B6" t="inlineStr">
        <is>
          <t>June 2026</t>
        </is>
      </c>
    </row>
    <row r="8" ht="15" customHeight="1" s="10">
      <c r="A8" s="14" t="n"/>
      <c r="B8" s="14" t="n"/>
      <c r="C8" s="14" t="n"/>
      <c r="D8" s="14" t="n"/>
    </row>
    <row r="10" ht="15" customHeight="1" s="10">
      <c r="A10" s="12" t="inlineStr">
        <is>
          <t>Basic Salary</t>
        </is>
      </c>
      <c r="B10" s="15" t="n">
        <v>10000</v>
      </c>
    </row>
    <row r="11" ht="15" customHeight="1" s="10">
      <c r="A11" s="12" t="inlineStr">
        <is>
          <t>Holiday Pay(For EPF/ETF)</t>
        </is>
      </c>
      <c r="B11" s="15" t="n">
        <v>0</v>
      </c>
    </row>
    <row r="12" ht="15" customHeight="1" s="10">
      <c r="A12" s="12" t="inlineStr">
        <is>
          <t>No pay</t>
        </is>
      </c>
      <c r="B12" s="15" t="n">
        <v>0</v>
      </c>
    </row>
    <row r="13" ht="15" customHeight="1" s="10">
      <c r="A13" s="12" t="inlineStr">
        <is>
          <t>Nopay Revise</t>
        </is>
      </c>
      <c r="B13" s="15" t="n">
        <v>0</v>
      </c>
    </row>
    <row r="14" ht="15" customHeight="1" s="10">
      <c r="A14" s="12" t="inlineStr">
        <is>
          <t>Salary Adjustment</t>
        </is>
      </c>
      <c r="B14" s="15" t="n">
        <v>1551.39375</v>
      </c>
    </row>
    <row r="15" ht="15" customHeight="1" s="10">
      <c r="A15" s="16" t="inlineStr">
        <is>
          <t>Total for EPF</t>
        </is>
      </c>
      <c r="B15" s="17">
        <f>SUM(B10:B14)</f>
        <v/>
      </c>
    </row>
    <row r="17" ht="15" customHeight="1" s="10">
      <c r="A17" s="12" t="inlineStr">
        <is>
          <t>Night Shift</t>
        </is>
      </c>
      <c r="B17" s="15" t="n">
        <v>1</v>
      </c>
    </row>
    <row r="18" ht="15" customHeight="1" s="10">
      <c r="A18" s="12" t="inlineStr">
        <is>
          <t>Saturday Night</t>
        </is>
      </c>
      <c r="B18" s="15" t="n">
        <v>0</v>
      </c>
    </row>
    <row r="19" ht="15" customHeight="1" s="10">
      <c r="A19" s="12" t="inlineStr">
        <is>
          <t>Sunday Payment</t>
        </is>
      </c>
      <c r="B19" s="15" t="n">
        <v>0</v>
      </c>
    </row>
    <row r="20" ht="15" customHeight="1" s="10">
      <c r="A20" s="12" t="inlineStr">
        <is>
          <t>Poya/Mercantile</t>
        </is>
      </c>
      <c r="B20" s="15" t="n">
        <v>0</v>
      </c>
    </row>
    <row r="21" ht="15" customHeight="1" s="10">
      <c r="A21" s="12" t="inlineStr">
        <is>
          <t>Mercantile special Payment</t>
        </is>
      </c>
      <c r="B21" s="15" t="n">
        <v>0</v>
      </c>
    </row>
    <row r="22" ht="15" customHeight="1" s="10">
      <c r="A22" s="12" t="inlineStr">
        <is>
          <t>Refund ICEU Amount</t>
        </is>
      </c>
      <c r="B22" s="15" t="n">
        <v>0</v>
      </c>
    </row>
    <row r="23" ht="15" customHeight="1" s="10">
      <c r="A23" s="12" t="inlineStr">
        <is>
          <t>OT Arrears</t>
        </is>
      </c>
      <c r="B23" s="15" t="n">
        <v>1551.39375</v>
      </c>
    </row>
    <row r="24" ht="15" customHeight="1" s="10">
      <c r="A24" s="12" t="inlineStr">
        <is>
          <t>Salary Arrears Deduction</t>
        </is>
      </c>
      <c r="B24" s="15" t="n">
        <v>8530</v>
      </c>
    </row>
    <row r="25" ht="15" customHeight="1" s="10">
      <c r="A25" s="12" t="inlineStr">
        <is>
          <t>Over Time -</t>
        </is>
      </c>
      <c r="B25" s="15" t="n">
        <v>50</v>
      </c>
    </row>
    <row r="26" ht="15" customHeight="1" s="10">
      <c r="A26" s="12" t="inlineStr">
        <is>
          <t>Double Time -</t>
        </is>
      </c>
      <c r="B26" s="15" t="n">
        <v>0</v>
      </c>
    </row>
    <row r="27" ht="15" customHeight="1" s="10">
      <c r="A27" s="12" t="inlineStr">
        <is>
          <t>Powder Incentive</t>
        </is>
      </c>
      <c r="B27" s="15" t="n">
        <v>0</v>
      </c>
    </row>
    <row r="28" ht="15" customHeight="1" s="10">
      <c r="A28" s="12" t="inlineStr">
        <is>
          <t>Tailoring Fee</t>
        </is>
      </c>
      <c r="B28" s="15" t="n">
        <v>0</v>
      </c>
    </row>
    <row r="29" ht="15" customHeight="1" s="10">
      <c r="A29" s="12" t="inlineStr">
        <is>
          <t>Att. Incentive</t>
        </is>
      </c>
      <c r="B29" s="15" t="n">
        <v>3000</v>
      </c>
    </row>
    <row r="30" ht="15" customHeight="1" s="10">
      <c r="A30" s="12" t="inlineStr">
        <is>
          <t>Melt Incentive</t>
        </is>
      </c>
      <c r="B30" s="15" t="n">
        <v>0</v>
      </c>
    </row>
    <row r="31" ht="15" customHeight="1" s="10">
      <c r="A31" s="12" t="inlineStr">
        <is>
          <t>Team Leader Incentive</t>
        </is>
      </c>
      <c r="B31" s="15" t="n">
        <v>2500</v>
      </c>
    </row>
    <row r="32" ht="15" customHeight="1" s="10">
      <c r="A32" s="12" t="inlineStr">
        <is>
          <t>Chemical Incentive</t>
        </is>
      </c>
      <c r="B32" s="15" t="n">
        <v>0</v>
      </c>
    </row>
    <row r="33" ht="15" customHeight="1" s="10">
      <c r="A33" s="12" t="inlineStr">
        <is>
          <t>Export Incentive</t>
        </is>
      </c>
      <c r="B33" s="15" t="n">
        <v>0</v>
      </c>
    </row>
    <row r="34" ht="15" customHeight="1" s="10">
      <c r="A34" s="12" t="inlineStr">
        <is>
          <t>Production Incentive</t>
        </is>
      </c>
      <c r="B34" s="15" t="n">
        <v>17406.73</v>
      </c>
    </row>
    <row r="35" ht="15" customHeight="1" s="10">
      <c r="A35" s="16" t="inlineStr">
        <is>
          <t>Gross Salary</t>
        </is>
      </c>
      <c r="B35" s="18">
        <f>B15+SUM(B17:B34)</f>
        <v/>
      </c>
    </row>
    <row r="37" ht="15" customHeight="1" s="10">
      <c r="A37" s="16" t="inlineStr">
        <is>
          <t>Deductions</t>
        </is>
      </c>
    </row>
    <row r="38" ht="15" customHeight="1" s="10">
      <c r="A38" s="12" t="inlineStr">
        <is>
          <t>EPF 8%</t>
        </is>
      </c>
      <c r="B38" s="15">
        <f>B15*0.08</f>
        <v/>
      </c>
    </row>
    <row r="39" ht="15" customHeight="1" s="10">
      <c r="A39" s="12" t="inlineStr">
        <is>
          <t>Salary Advance</t>
        </is>
      </c>
      <c r="B39" s="15" t="n">
        <v>12000</v>
      </c>
    </row>
    <row r="40" ht="15" customHeight="1" s="10">
      <c r="A40" s="12" t="inlineStr">
        <is>
          <t>Festival Advance</t>
        </is>
      </c>
      <c r="B40" s="15" t="n">
        <v>3500</v>
      </c>
    </row>
    <row r="41" ht="15" customHeight="1" s="10">
      <c r="A41" s="12" t="inlineStr">
        <is>
          <t>Vison Care</t>
        </is>
      </c>
      <c r="B41" s="15" t="n">
        <v>0</v>
      </c>
    </row>
    <row r="42" ht="15" customHeight="1" s="10">
      <c r="A42" s="12" t="inlineStr">
        <is>
          <t>Meals</t>
        </is>
      </c>
      <c r="B42" s="15" t="n">
        <v>1012.5</v>
      </c>
    </row>
    <row r="43" ht="15" customHeight="1" s="10">
      <c r="A43" s="12" t="inlineStr">
        <is>
          <t>Welfare Society</t>
        </is>
      </c>
      <c r="B43" s="15" t="n">
        <v>0</v>
      </c>
    </row>
    <row r="44" ht="15" customHeight="1" s="10">
      <c r="A44" s="12" t="inlineStr">
        <is>
          <t>Other Deduction - T/P</t>
        </is>
      </c>
      <c r="B44" s="15" t="n">
        <v>0</v>
      </c>
    </row>
    <row r="45" ht="15" customHeight="1" s="10">
      <c r="A45" s="12" t="inlineStr">
        <is>
          <t>Festival Advance - guarantors</t>
        </is>
      </c>
      <c r="B45" s="15" t="n">
        <v>0</v>
      </c>
    </row>
    <row r="46" ht="15" customHeight="1" s="10">
      <c r="A46" s="12" t="inlineStr">
        <is>
          <t>ICEU Member Fee</t>
        </is>
      </c>
      <c r="B46" s="15" t="n">
        <v>0</v>
      </c>
    </row>
    <row r="47" ht="15" customHeight="1" s="10">
      <c r="A47" s="12" t="inlineStr">
        <is>
          <t>PAYE Tax</t>
        </is>
      </c>
      <c r="B47" s="15" t="n">
        <v>0</v>
      </c>
    </row>
    <row r="48" ht="15" customHeight="1" s="10">
      <c r="A48" s="12" t="inlineStr">
        <is>
          <t>Stamp Duty</t>
        </is>
      </c>
      <c r="B48" s="15" t="n">
        <v>25</v>
      </c>
    </row>
    <row r="49" ht="15" customHeight="1" s="10">
      <c r="A49" s="16" t="inlineStr">
        <is>
          <t>Total Deductions</t>
        </is>
      </c>
      <c r="B49" s="17">
        <f>SUM(B38:B48)</f>
        <v/>
      </c>
    </row>
    <row r="50" ht="15" customHeight="1" s="10">
      <c r="A50" s="16" t="inlineStr">
        <is>
          <t>Net Salary</t>
        </is>
      </c>
      <c r="B50" s="17">
        <f>B35-B49</f>
        <v/>
      </c>
    </row>
    <row r="51" ht="15" customHeight="1" s="10">
      <c r="A51" s="16" t="inlineStr">
        <is>
          <t>To Be Paid Amount</t>
        </is>
      </c>
      <c r="B51" s="18">
        <f>B50</f>
        <v/>
      </c>
    </row>
    <row r="53" ht="15" customHeight="1" s="10">
      <c r="A53" s="12" t="inlineStr">
        <is>
          <t>EPF 12%</t>
        </is>
      </c>
      <c r="B53" s="15">
        <f>B15*0.12</f>
        <v/>
      </c>
    </row>
    <row r="54" ht="15" customHeight="1" s="10">
      <c r="A54" s="12" t="inlineStr">
        <is>
          <t>ETF 3%</t>
        </is>
      </c>
      <c r="B54" s="15">
        <f>B15*0.03</f>
        <v/>
      </c>
    </row>
    <row r="55" ht="15" customHeight="1" s="10">
      <c r="A55" s="12" t="inlineStr">
        <is>
          <t>Casual Leave</t>
        </is>
      </c>
      <c r="B55" s="15" t="n">
        <v>0</v>
      </c>
    </row>
    <row r="56" ht="15" customHeight="1" s="10">
      <c r="A56" s="12" t="inlineStr">
        <is>
          <t>Rate per N.O/T</t>
        </is>
      </c>
      <c r="B56" s="15" t="n">
        <v>75</v>
      </c>
    </row>
    <row r="57" ht="15" customHeight="1" s="10">
      <c r="A57" s="12" t="inlineStr">
        <is>
          <t>Rate per D.O/T</t>
        </is>
      </c>
      <c r="B57" s="15" t="n">
        <v>100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2026-07-10T11:16:22Z</dcterms:created>
  <dcterms:modified xsi:type="dcterms:W3CDTF">2026-07-13T08:42:48Z</dcterms:modified>
  <cp:revision>0</cp:revision>
</cp:coreProperties>
</file>