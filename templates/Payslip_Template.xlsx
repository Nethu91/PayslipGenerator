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sli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<sst xmlns="http://schemas.openxmlformats.org/spreadsheetml/2006/main" count="50" uniqueCount="50">
  <si>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Swisstek Aluminium Limited</t>
  </si>
  <si>
    <t xml:space="preserve">EPF</t>
  </si>
  <si>
    <t xml:space="preserve">Department</t>
  </si>
  <si>
    <t xml:space="preserve">Name</t>
  </si>
  <si>
    <t xml:space="preserve">        May, 2026</t>
  </si>
  <si>
    <t xml:space="preserve">Basic Salary</t>
  </si>
  <si>
    <t xml:space="preserve">Holiday Pay(For EPF/ETF)</t>
  </si>
  <si>
    <t xml:space="preserve">No pay</t>
  </si>
  <si>
    <t xml:space="preserve">Nopay Revise</t>
  </si>
  <si>
    <t xml:space="preserve">Salary Adjustment</t>
  </si>
  <si>
    <t xml:space="preserve">Total for EPF</t>
  </si>
  <si>
    <t xml:space="preserve">Night Shift</t>
  </si>
  <si>
    <t xml:space="preserve">Saturday Night</t>
  </si>
  <si>
    <t xml:space="preserve">Sunday Payment</t>
  </si>
  <si>
    <t xml:space="preserve">Poya/Mercantile</t>
  </si>
  <si>
    <t xml:space="preserve">Mercantile special Payment</t>
  </si>
  <si>
    <t xml:space="preserve">Refund ICEU Amount</t>
  </si>
  <si>
    <t xml:space="preserve">OT Arrears</t>
  </si>
  <si>
    <t xml:space="preserve">Salary Arrears Deduction</t>
  </si>
  <si>
    <t xml:space="preserve">Over Time -</t>
  </si>
  <si>
    <t xml:space="preserve">Double Time -</t>
  </si>
  <si>
    <t xml:space="preserve">Powder Incentive</t>
  </si>
  <si>
    <t xml:space="preserve">Tailoring Fee</t>
  </si>
  <si>
    <t xml:space="preserve">Att. Incentive</t>
  </si>
  <si>
    <t xml:space="preserve">Melt Incentive</t>
  </si>
  <si>
    <t xml:space="preserve">Team Leader Incentive</t>
  </si>
  <si>
    <t xml:space="preserve">Chemical Incentive</t>
  </si>
  <si>
    <t xml:space="preserve">Export Incentive</t>
  </si>
  <si>
    <t xml:space="preserve">Production Incentive</t>
  </si>
  <si>
    <t xml:space="preserve">Gross Salary</t>
  </si>
  <si>
    <t xml:space="preserve">Deductions</t>
  </si>
  <si>
    <t xml:space="preserve">EPF 8%</t>
  </si>
  <si>
    <t xml:space="preserve">Salary Advance</t>
  </si>
  <si>
    <t xml:space="preserve">Festival Advance</t>
  </si>
  <si>
    <t xml:space="preserve">Vison Care</t>
  </si>
  <si>
    <t xml:space="preserve">Meals</t>
  </si>
  <si>
    <t xml:space="preserve">Welfare Society</t>
  </si>
  <si>
    <t xml:space="preserve">Other Deduction - T/P</t>
  </si>
  <si>
    <t xml:space="preserve">Festival Advance - guarantors</t>
  </si>
  <si>
    <t xml:space="preserve">ICEU Member Fee</t>
  </si>
  <si>
    <t xml:space="preserve">PAYE Tax</t>
  </si>
  <si>
    <t xml:space="preserve">Stamp Duty</t>
  </si>
  <si>
    <t xml:space="preserve">Total Deductions</t>
  </si>
  <si>
    <t xml:space="preserve">Net Salary</t>
  </si>
  <si>
    <t xml:space="preserve">To Be Paid Amount</t>
  </si>
  <si>
    <t xml:space="preserve">EPF 12%</t>
  </si>
  <si>
    <t xml:space="preserve">ETF 3%</t>
  </si>
  <si>
    <t xml:space="preserve">Casual Leave</t>
  </si>
  <si>
    <t xml:space="preserve">Rate per N.O/T</t>
  </si>
  <si>
    <t xml:space="preserve">Rate per D.O/T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</si>
</sst>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</row>
    <row r="3" customFormat="false" ht="15" hidden="false" customHeight="false" outlineLevel="0" collapsed="false">
      <c r="A3" s="2" t="s">
        <v>2</v>
      </c>
      <c r="B3" s="3"/>
    </row>
    <row r="5" customFormat="false" ht="15" hidden="false" customHeight="false" outlineLevel="0" collapsed="false">
      <c r="A5" s="2" t="s">
        <v>3</v>
      </c>
      <c r="B5" s="3"/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4"/>
      <c r="B8" s="4"/>
      <c r="C8" s="4"/>
      <c r="D8" s="4"/>
    </row>
    <row r="10" customFormat="false" ht="15" hidden="false" customHeight="false" outlineLevel="0" collapsed="false">
      <c r="A10" s="2" t="s">
        <v>5</v>
      </c>
      <c r="B10" s="5" t="n">
        <v>0</v>
      </c>
    </row>
    <row r="11" customFormat="false" ht="15" hidden="false" customHeight="false" outlineLevel="0" collapsed="false">
      <c r="A11" s="2" t="s">
        <v>6</v>
      </c>
      <c r="B11" s="5" t="n">
        <v>0</v>
      </c>
    </row>
    <row r="12" customFormat="false" ht="15" hidden="false" customHeight="false" outlineLevel="0" collapsed="false">
      <c r="A12" s="2" t="s">
        <v>7</v>
      </c>
      <c r="B12" s="5" t="n">
        <v>0</v>
      </c>
    </row>
    <row r="13" customFormat="false" ht="15" hidden="false" customHeight="false" outlineLevel="0" collapsed="false">
      <c r="A13" s="2" t="s">
        <v>8</v>
      </c>
      <c r="B13" s="5" t="n">
        <v>0</v>
      </c>
    </row>
    <row r="14" customFormat="false" ht="15" hidden="false" customHeight="false" outlineLevel="0" collapsed="false">
      <c r="A14" s="2" t="s">
        <v>9</v>
      </c>
      <c r="B14" s="5" t="n">
        <v>0</v>
      </c>
    </row>
    <row r="15" customFormat="false" ht="15" hidden="false" customHeight="false" outlineLevel="0" collapsed="false">
      <c r="A15" s="6" t="s">
        <v>10</v>
      </c>
      <c r="B15" s="7" t="n">
        <f aca="false">SUM(B10:B14)</f>
        <v>0</v>
      </c>
    </row>
    <row r="17" customFormat="false" ht="15" hidden="false" customHeight="false" outlineLevel="0" collapsed="false">
      <c r="A17" s="2" t="s">
        <v>11</v>
      </c>
      <c r="B17" s="5" t="n">
        <v>0</v>
      </c>
    </row>
    <row r="18" customFormat="false" ht="15" hidden="false" customHeight="false" outlineLevel="0" collapsed="false">
      <c r="A18" s="2" t="s">
        <v>12</v>
      </c>
      <c r="B18" s="5" t="n">
        <v>0</v>
      </c>
    </row>
    <row r="19" customFormat="false" ht="15" hidden="false" customHeight="false" outlineLevel="0" collapsed="false">
      <c r="A19" s="2" t="s">
        <v>13</v>
      </c>
      <c r="B19" s="5" t="n">
        <v>0</v>
      </c>
    </row>
    <row r="20" customFormat="false" ht="15" hidden="false" customHeight="false" outlineLevel="0" collapsed="false">
      <c r="A20" s="2" t="s">
        <v>14</v>
      </c>
      <c r="B20" s="5" t="n">
        <v>0</v>
      </c>
    </row>
    <row r="21" customFormat="false" ht="15" hidden="false" customHeight="false" outlineLevel="0" collapsed="false">
      <c r="A21" s="2" t="s">
        <v>15</v>
      </c>
      <c r="B21" s="5" t="n">
        <v>0</v>
      </c>
    </row>
    <row r="22" customFormat="false" ht="15" hidden="false" customHeight="false" outlineLevel="0" collapsed="false">
      <c r="A22" s="2" t="s">
        <v>16</v>
      </c>
      <c r="B22" s="5" t="n">
        <v>0</v>
      </c>
    </row>
    <row r="23" customFormat="false" ht="15" hidden="false" customHeight="false" outlineLevel="0" collapsed="false">
      <c r="A23" s="2" t="s">
        <v>17</v>
      </c>
      <c r="B23" s="5" t="n">
        <v>0</v>
      </c>
    </row>
    <row r="24" customFormat="false" ht="15" hidden="false" customHeight="false" outlineLevel="0" collapsed="false">
      <c r="A24" s="2" t="s">
        <v>18</v>
      </c>
      <c r="B24" s="5" t="n">
        <v>0</v>
      </c>
    </row>
    <row r="25" customFormat="false" ht="15" hidden="false" customHeight="false" outlineLevel="0" collapsed="false">
      <c r="A25" s="2" t="s">
        <v>19</v>
      </c>
      <c r="B25" s="5" t="n">
        <v>0</v>
      </c>
    </row>
    <row r="26" customFormat="false" ht="15" hidden="false" customHeight="false" outlineLevel="0" collapsed="false">
      <c r="A26" s="2" t="s">
        <v>20</v>
      </c>
      <c r="B26" s="5" t="n">
        <v>0</v>
      </c>
    </row>
    <row r="27" customFormat="false" ht="15" hidden="false" customHeight="false" outlineLevel="0" collapsed="false">
      <c r="A27" s="2" t="s">
        <v>21</v>
      </c>
      <c r="B27" s="5" t="n">
        <v>0</v>
      </c>
    </row>
    <row r="28" customFormat="false" ht="15" hidden="false" customHeight="false" outlineLevel="0" collapsed="false">
      <c r="A28" s="2" t="s">
        <v>22</v>
      </c>
      <c r="B28" s="5" t="n">
        <v>0</v>
      </c>
    </row>
    <row r="29" customFormat="false" ht="15" hidden="false" customHeight="false" outlineLevel="0" collapsed="false">
      <c r="A29" s="2" t="s">
        <v>23</v>
      </c>
      <c r="B29" s="5" t="n">
        <v>0</v>
      </c>
    </row>
    <row r="30" customFormat="false" ht="15" hidden="false" customHeight="false" outlineLevel="0" collapsed="false">
      <c r="A30" s="2" t="s">
        <v>24</v>
      </c>
      <c r="B30" s="5" t="n">
        <v>0</v>
      </c>
    </row>
    <row r="31" customFormat="false" ht="15" hidden="false" customHeight="false" outlineLevel="0" collapsed="false">
      <c r="A31" s="2" t="s">
        <v>25</v>
      </c>
      <c r="B31" s="5" t="n">
        <v>0</v>
      </c>
    </row>
    <row r="32" customFormat="false" ht="15" hidden="false" customHeight="false" outlineLevel="0" collapsed="false">
      <c r="A32" s="2" t="s">
        <v>26</v>
      </c>
      <c r="B32" s="5" t="n">
        <v>0</v>
      </c>
    </row>
    <row r="33" customFormat="false" ht="15" hidden="false" customHeight="false" outlineLevel="0" collapsed="false">
      <c r="A33" s="2" t="s">
        <v>27</v>
      </c>
      <c r="B33" s="5" t="n">
        <v>0</v>
      </c>
    </row>
    <row r="34" customFormat="false" ht="15" hidden="false" customHeight="false" outlineLevel="0" collapsed="false">
      <c r="A34" s="2" t="s">
        <v>28</v>
      </c>
      <c r="B34" s="5" t="n">
        <v>0</v>
      </c>
    </row>
    <row r="35" customFormat="false" ht="15" hidden="false" customHeight="false" outlineLevel="0" collapsed="false">
      <c r="A35" s="6" t="s">
        <v>29</v>
      </c>
      <c r="B35" s="8" t="n">
        <f aca="false">B15+SUM(B17:B34)</f>
        <v>0</v>
      </c>
    </row>
    <row r="37" customFormat="false" ht="15" hidden="false" customHeight="false" outlineLevel="0" collapsed="false">
      <c r="A37" s="6" t="s">
        <v>30</v>
      </c>
    </row>
    <row r="38" customFormat="false" ht="15" hidden="false" customHeight="false" outlineLevel="0" collapsed="false">
      <c r="A38" s="2" t="s">
        <v>31</v>
      </c>
      <c r="B38" s="5" t="n">
        <f aca="false">B15*0.08</f>
        <v>0</v>
      </c>
    </row>
    <row r="39" customFormat="false" ht="15" hidden="false" customHeight="false" outlineLevel="0" collapsed="false">
      <c r="A39" s="2" t="s">
        <v>32</v>
      </c>
      <c r="B39" s="5" t="n">
        <v>0</v>
      </c>
    </row>
    <row r="40" customFormat="false" ht="15" hidden="false" customHeight="false" outlineLevel="0" collapsed="false">
      <c r="A40" s="2" t="s">
        <v>33</v>
      </c>
      <c r="B40" s="5" t="n">
        <v>0</v>
      </c>
    </row>
    <row r="41" customFormat="false" ht="15" hidden="false" customHeight="false" outlineLevel="0" collapsed="false">
      <c r="A41" s="2" t="s">
        <v>34</v>
      </c>
      <c r="B41" s="5" t="n">
        <v>0</v>
      </c>
    </row>
    <row r="42" customFormat="false" ht="15" hidden="false" customHeight="false" outlineLevel="0" collapsed="false">
      <c r="A42" s="2" t="s">
        <v>35</v>
      </c>
      <c r="B42" s="5" t="n">
        <v>0</v>
      </c>
    </row>
    <row r="43" customFormat="false" ht="15" hidden="false" customHeight="false" outlineLevel="0" collapsed="false">
      <c r="A43" s="2" t="s">
        <v>36</v>
      </c>
      <c r="B43" s="5" t="n">
        <v>0</v>
      </c>
    </row>
    <row r="44" customFormat="false" ht="15" hidden="false" customHeight="false" outlineLevel="0" collapsed="false">
      <c r="A44" s="2" t="s">
        <v>37</v>
      </c>
      <c r="B44" s="5" t="n">
        <v>0</v>
      </c>
    </row>
    <row r="45" customFormat="false" ht="15" hidden="false" customHeight="false" outlineLevel="0" collapsed="false">
      <c r="A45" s="2" t="s">
        <v>38</v>
      </c>
      <c r="B45" s="5" t="n">
        <v>0</v>
      </c>
    </row>
    <row r="46" customFormat="false" ht="15" hidden="false" customHeight="false" outlineLevel="0" collapsed="false">
      <c r="A46" s="2" t="s">
        <v>39</v>
      </c>
      <c r="B46" s="5" t="n">
        <v>0</v>
      </c>
    </row>
    <row r="47" customFormat="false" ht="15" hidden="false" customHeight="false" outlineLevel="0" collapsed="false">
      <c r="A47" s="2" t="s">
        <v>40</v>
      </c>
      <c r="B47" s="5" t="n">
        <v>0</v>
      </c>
    </row>
    <row r="48" customFormat="false" ht="15" hidden="false" customHeight="false" outlineLevel="0" collapsed="false">
      <c r="A48" s="2" t="s">
        <v>41</v>
      </c>
      <c r="B48" s="5" t="n">
        <v>0</v>
      </c>
    </row>
    <row r="49" customFormat="false" ht="15" hidden="false" customHeight="false" outlineLevel="0" collapsed="false">
      <c r="A49" s="6" t="s">
        <v>42</v>
      </c>
      <c r="B49" s="7" t="n">
        <f aca="false">SUM(B38:B48)</f>
        <v>0</v>
      </c>
    </row>
    <row r="50" customFormat="false" ht="15" hidden="false" customHeight="false" outlineLevel="0" collapsed="false">
      <c r="A50" s="6" t="s">
        <v>43</v>
      </c>
      <c r="B50" s="7" t="n">
        <f aca="false">B35-B49</f>
        <v>0</v>
      </c>
    </row>
    <row r="51" customFormat="false" ht="15" hidden="false" customHeight="false" outlineLevel="0" collapsed="false">
      <c r="A51" s="6" t="s">
        <v>44</v>
      </c>
      <c r="B51" s="8" t="n">
        <f aca="false">B50</f>
        <v>0</v>
      </c>
    </row>
    <row r="53" customFormat="false" ht="15" hidden="false" customHeight="false" outlineLevel="0" collapsed="false">
      <c r="A53" s="2" t="s">
        <v>45</v>
      </c>
      <c r="B53" s="5" t="n">
        <f aca="false">B15*0.12</f>
        <v>0</v>
      </c>
    </row>
    <row r="54" customFormat="false" ht="15" hidden="false" customHeight="false" outlineLevel="0" collapsed="false">
      <c r="A54" s="2" t="s">
        <v>46</v>
      </c>
      <c r="B54" s="5" t="n">
        <f aca="false">B15*0.03</f>
        <v>0</v>
      </c>
    </row>
    <row r="55" customFormat="false" ht="15" hidden="false" customHeight="false" outlineLevel="0" collapsed="false">
      <c r="A55" s="2" t="s">
        <v>47</v>
      </c>
      <c r="B55" s="5" t="n">
        <v>0</v>
      </c>
    </row>
    <row r="56" customFormat="false" ht="15" hidden="false" customHeight="false" outlineLevel="0" collapsed="false">
      <c r="A56" s="2" t="s">
        <v>48</v>
      </c>
      <c r="B56" s="5" t="n">
        <v>0</v>
      </c>
    </row>
    <row r="57" customFormat="false" ht="15" hidden="false" customHeight="false" outlineLevel="0" collapsed="false">
      <c r="A57" s="2" t="s">
        <v>49</v>
      </c>
      <c r="B57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2026-07-10T11:16:22Z</dcterms:created>
  <dc:creator>openpyxl</dc:creator>
  <dc:description/>
  <dc:language>en-US</dc:language>
  <cp:lastModifiedBy/>
  <dcterms:modified xsi:type="dcterms:W3CDTF">2026-07-10T11:16:22Z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