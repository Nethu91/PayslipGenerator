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ayslipGenerator\templates\"/>
    </mc:Choice>
  </mc:AlternateContent>
  <bookViews>
    <workbookView xWindow="0" yWindow="0" windowWidth="16380" windowHeight="8190" tabRatio="500"/>
  </bookViews>
  <sheets>
    <sheet name="Payslip" sheetId="1" r:id="rId1"/>
  </sheets>
  <definedNames>
    <definedName name="_xlnm.Print_Area" localSheetId="0">Payslip!$A$1:$C$59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4" i="1" l="1"/>
  <c r="B15" i="1"/>
  <c r="B53" i="1" s="1"/>
  <c r="B35" i="1" l="1"/>
  <c r="B38" i="1"/>
  <c r="B49" i="1" s="1"/>
  <c r="B50" i="1" l="1"/>
  <c r="B51" i="1" s="1"/>
</calcChain>
</file>

<file path=xl/sharedStrings.xml><?xml version="1.0" encoding="utf-8"?>
<sst xmlns="http://schemas.openxmlformats.org/spreadsheetml/2006/main" count="50" uniqueCount="50">
  <si>
    <t>Swisstek Aluminium Limited</t>
  </si>
  <si>
    <t>EPF</t>
  </si>
  <si>
    <t>Department</t>
  </si>
  <si>
    <t>Name</t>
  </si>
  <si>
    <t xml:space="preserve">        May, 2026</t>
  </si>
  <si>
    <t>Basic Salary</t>
  </si>
  <si>
    <t>Holiday Pay(For EPF/ETF)</t>
  </si>
  <si>
    <t>No pay</t>
  </si>
  <si>
    <t>Nopay Revise</t>
  </si>
  <si>
    <t>Salary Adjustment</t>
  </si>
  <si>
    <t>Total for EPF</t>
  </si>
  <si>
    <t>Night Shift</t>
  </si>
  <si>
    <t>Saturday Night</t>
  </si>
  <si>
    <t>Sunday Payment</t>
  </si>
  <si>
    <t>Poya/Mercantile</t>
  </si>
  <si>
    <t>Mercantile special Payment</t>
  </si>
  <si>
    <t>Refund ICEU Amount</t>
  </si>
  <si>
    <t>OT Arrears</t>
  </si>
  <si>
    <t>Salary Arrears Deduction</t>
  </si>
  <si>
    <t>Over Time -</t>
  </si>
  <si>
    <t>Double Time -</t>
  </si>
  <si>
    <t>Powder Incentive</t>
  </si>
  <si>
    <t>Tailoring Fee</t>
  </si>
  <si>
    <t>Att. Incentive</t>
  </si>
  <si>
    <t>Melt Incentive</t>
  </si>
  <si>
    <t>Team Leader Incentive</t>
  </si>
  <si>
    <t>Chemical Incentive</t>
  </si>
  <si>
    <t>Export Incentive</t>
  </si>
  <si>
    <t>Production Incentive</t>
  </si>
  <si>
    <t>Gross Salary</t>
  </si>
  <si>
    <t>Deductions</t>
  </si>
  <si>
    <t>EPF 8%</t>
  </si>
  <si>
    <t>Salary Advance</t>
  </si>
  <si>
    <t>Festival Advance</t>
  </si>
  <si>
    <t>Vison Care</t>
  </si>
  <si>
    <t>Meals</t>
  </si>
  <si>
    <t>Welfare Society</t>
  </si>
  <si>
    <t>Other Deduction - T/P</t>
  </si>
  <si>
    <t>Festival Advance - guarantors</t>
  </si>
  <si>
    <t>ICEU Member Fee</t>
  </si>
  <si>
    <t>PAYE Tax</t>
  </si>
  <si>
    <t>Stamp Duty</t>
  </si>
  <si>
    <t>Total Deductions</t>
  </si>
  <si>
    <t>Net Salary</t>
  </si>
  <si>
    <t>To Be Paid Amount</t>
  </si>
  <si>
    <t>EPF 12%</t>
  </si>
  <si>
    <t>ETF 3%</t>
  </si>
  <si>
    <t>Casual Leave</t>
  </si>
  <si>
    <t>Rate per N.O/T</t>
  </si>
  <si>
    <t>Rate per D.O/T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</si>
</sst>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1" xfId="0" applyBorder="1"/>
    <xf numFmtId="2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2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7"/>
  <sheetViews>
    <sheetView showGridLines="0" tabSelected="1" zoomScaleNormal="100" workbookViewId="0">
      <selection activeCell="C1" sqref="A1:C59"/>
    </sheetView>
  </sheetViews>
  <sheetFormatPr defaultColWidth="8.7109375" defaultRowHeight="15" x14ac:dyDescent="0.25"/>
  <cols>
    <col min="1" max="1" width="38" customWidth="1"/>
    <col min="2" max="2" width="14" customWidth="1"/>
    <col min="3" max="3" width="2" customWidth="1"/>
    <col min="4" max="4" width="14" customWidth="1"/>
  </cols>
  <sheetData>
    <row r="1" spans="1:4" x14ac:dyDescent="0.25">
      <c r="A1" s="1" t="s">
        <v>0</v>
      </c>
    </row>
    <row r="2" spans="1:4" x14ac:dyDescent="0.25">
      <c r="A2" s="2" t="s">
        <v>1</v>
      </c>
      <c r="B2" s="3"/>
    </row>
    <row r="3" spans="1:4" x14ac:dyDescent="0.25">
      <c r="A3" s="2" t="s">
        <v>2</v>
      </c>
      <c r="B3" s="3"/>
    </row>
    <row r="5" spans="1:4" x14ac:dyDescent="0.25">
      <c r="A5" s="2" t="s">
        <v>3</v>
      </c>
      <c r="B5" s="3"/>
    </row>
    <row r="6" spans="1:4" x14ac:dyDescent="0.25">
      <c r="A6" s="2" t="s">
        <v>4</v>
      </c>
    </row>
    <row r="8" spans="1:4" x14ac:dyDescent="0.25">
      <c r="A8" s="4"/>
      <c r="B8" s="4"/>
      <c r="C8" s="4"/>
      <c r="D8" s="4"/>
    </row>
    <row r="10" spans="1:4" x14ac:dyDescent="0.25">
      <c r="A10" s="2" t="s">
        <v>5</v>
      </c>
      <c r="B10" s="5">
        <v>0</v>
      </c>
    </row>
    <row r="11" spans="1:4" x14ac:dyDescent="0.25">
      <c r="A11" s="2" t="s">
        <v>6</v>
      </c>
      <c r="B11" s="5">
        <v>0</v>
      </c>
    </row>
    <row r="12" spans="1:4" x14ac:dyDescent="0.25">
      <c r="A12" s="2" t="s">
        <v>7</v>
      </c>
      <c r="B12" s="5">
        <v>0</v>
      </c>
    </row>
    <row r="13" spans="1:4" x14ac:dyDescent="0.25">
      <c r="A13" s="2" t="s">
        <v>8</v>
      </c>
      <c r="B13" s="5">
        <v>0</v>
      </c>
    </row>
    <row r="14" spans="1:4" x14ac:dyDescent="0.25">
      <c r="A14" s="2" t="s">
        <v>9</v>
      </c>
      <c r="B14" s="5">
        <v>0</v>
      </c>
    </row>
    <row r="15" spans="1:4" x14ac:dyDescent="0.25">
      <c r="A15" s="6" t="s">
        <v>10</v>
      </c>
      <c r="B15" s="7">
        <f>SUM(B10:B14)</f>
        <v>0</v>
      </c>
    </row>
    <row r="17" spans="1:2" x14ac:dyDescent="0.25">
      <c r="A17" s="2" t="s">
        <v>11</v>
      </c>
      <c r="B17" s="5">
        <v>0</v>
      </c>
    </row>
    <row r="18" spans="1:2" x14ac:dyDescent="0.25">
      <c r="A18" s="2" t="s">
        <v>12</v>
      </c>
      <c r="B18" s="5">
        <v>0</v>
      </c>
    </row>
    <row r="19" spans="1:2" x14ac:dyDescent="0.25">
      <c r="A19" s="2" t="s">
        <v>13</v>
      </c>
      <c r="B19" s="5">
        <v>0</v>
      </c>
    </row>
    <row r="20" spans="1:2" x14ac:dyDescent="0.25">
      <c r="A20" s="2" t="s">
        <v>14</v>
      </c>
      <c r="B20" s="5">
        <v>0</v>
      </c>
    </row>
    <row r="21" spans="1:2" x14ac:dyDescent="0.25">
      <c r="A21" s="2" t="s">
        <v>15</v>
      </c>
      <c r="B21" s="5">
        <v>0</v>
      </c>
    </row>
    <row r="22" spans="1:2" x14ac:dyDescent="0.25">
      <c r="A22" s="2" t="s">
        <v>16</v>
      </c>
      <c r="B22" s="5">
        <v>0</v>
      </c>
    </row>
    <row r="23" spans="1:2" x14ac:dyDescent="0.25">
      <c r="A23" s="2" t="s">
        <v>17</v>
      </c>
      <c r="B23" s="5">
        <v>0</v>
      </c>
    </row>
    <row r="24" spans="1:2" x14ac:dyDescent="0.25">
      <c r="A24" s="2" t="s">
        <v>18</v>
      </c>
      <c r="B24" s="5">
        <v>0</v>
      </c>
    </row>
    <row r="25" spans="1:2" x14ac:dyDescent="0.25">
      <c r="A25" s="2" t="s">
        <v>19</v>
      </c>
      <c r="B25" s="5">
        <v>0</v>
      </c>
    </row>
    <row r="26" spans="1:2" x14ac:dyDescent="0.25">
      <c r="A26" s="2" t="s">
        <v>20</v>
      </c>
      <c r="B26" s="5">
        <v>0</v>
      </c>
    </row>
    <row r="27" spans="1:2" x14ac:dyDescent="0.25">
      <c r="A27" s="2" t="s">
        <v>21</v>
      </c>
      <c r="B27" s="5">
        <v>0</v>
      </c>
    </row>
    <row r="28" spans="1:2" x14ac:dyDescent="0.25">
      <c r="A28" s="2" t="s">
        <v>22</v>
      </c>
      <c r="B28" s="5">
        <v>0</v>
      </c>
    </row>
    <row r="29" spans="1:2" x14ac:dyDescent="0.25">
      <c r="A29" s="2" t="s">
        <v>23</v>
      </c>
      <c r="B29" s="5">
        <v>0</v>
      </c>
    </row>
    <row r="30" spans="1:2" x14ac:dyDescent="0.25">
      <c r="A30" s="2" t="s">
        <v>24</v>
      </c>
      <c r="B30" s="5">
        <v>0</v>
      </c>
    </row>
    <row r="31" spans="1:2" x14ac:dyDescent="0.25">
      <c r="A31" s="2" t="s">
        <v>25</v>
      </c>
      <c r="B31" s="5">
        <v>0</v>
      </c>
    </row>
    <row r="32" spans="1:2" x14ac:dyDescent="0.25">
      <c r="A32" s="2" t="s">
        <v>26</v>
      </c>
      <c r="B32" s="5">
        <v>0</v>
      </c>
    </row>
    <row r="33" spans="1:2" x14ac:dyDescent="0.25">
      <c r="A33" s="2" t="s">
        <v>27</v>
      </c>
      <c r="B33" s="5">
        <v>0</v>
      </c>
    </row>
    <row r="34" spans="1:2" x14ac:dyDescent="0.25">
      <c r="A34" s="2" t="s">
        <v>28</v>
      </c>
      <c r="B34" s="5">
        <v>0</v>
      </c>
    </row>
    <row r="35" spans="1:2" x14ac:dyDescent="0.25">
      <c r="A35" s="6" t="s">
        <v>29</v>
      </c>
      <c r="B35" s="8">
        <f>B15+SUM(B17:B34)</f>
        <v>0</v>
      </c>
    </row>
    <row r="37" spans="1:2" x14ac:dyDescent="0.25">
      <c r="A37" s="6" t="s">
        <v>30</v>
      </c>
    </row>
    <row r="38" spans="1:2" x14ac:dyDescent="0.25">
      <c r="A38" s="2" t="s">
        <v>31</v>
      </c>
      <c r="B38" s="5">
        <f>B15*0.08</f>
        <v>0</v>
      </c>
    </row>
    <row r="39" spans="1:2" x14ac:dyDescent="0.25">
      <c r="A39" s="2" t="s">
        <v>32</v>
      </c>
      <c r="B39" s="5">
        <v>0</v>
      </c>
    </row>
    <row r="40" spans="1:2" x14ac:dyDescent="0.25">
      <c r="A40" s="2" t="s">
        <v>33</v>
      </c>
      <c r="B40" s="5">
        <v>0</v>
      </c>
    </row>
    <row r="41" spans="1:2" x14ac:dyDescent="0.25">
      <c r="A41" s="2" t="s">
        <v>34</v>
      </c>
      <c r="B41" s="5">
        <v>0</v>
      </c>
    </row>
    <row r="42" spans="1:2" x14ac:dyDescent="0.25">
      <c r="A42" s="2" t="s">
        <v>35</v>
      </c>
      <c r="B42" s="5">
        <v>0</v>
      </c>
    </row>
    <row r="43" spans="1:2" x14ac:dyDescent="0.25">
      <c r="A43" s="2" t="s">
        <v>36</v>
      </c>
      <c r="B43" s="5">
        <v>0</v>
      </c>
    </row>
    <row r="44" spans="1:2" x14ac:dyDescent="0.25">
      <c r="A44" s="2" t="s">
        <v>37</v>
      </c>
      <c r="B44" s="5">
        <v>0</v>
      </c>
    </row>
    <row r="45" spans="1:2" x14ac:dyDescent="0.25">
      <c r="A45" s="2" t="s">
        <v>38</v>
      </c>
      <c r="B45" s="5">
        <v>0</v>
      </c>
    </row>
    <row r="46" spans="1:2" x14ac:dyDescent="0.25">
      <c r="A46" s="2" t="s">
        <v>39</v>
      </c>
      <c r="B46" s="5">
        <v>0</v>
      </c>
    </row>
    <row r="47" spans="1:2" x14ac:dyDescent="0.25">
      <c r="A47" s="2" t="s">
        <v>40</v>
      </c>
      <c r="B47" s="5">
        <v>0</v>
      </c>
    </row>
    <row r="48" spans="1:2" x14ac:dyDescent="0.25">
      <c r="A48" s="2" t="s">
        <v>41</v>
      </c>
      <c r="B48" s="5">
        <v>0</v>
      </c>
    </row>
    <row r="49" spans="1:2" x14ac:dyDescent="0.25">
      <c r="A49" s="6" t="s">
        <v>42</v>
      </c>
      <c r="B49" s="7">
        <f>SUM(B38:B48)</f>
        <v>0</v>
      </c>
    </row>
    <row r="50" spans="1:2" x14ac:dyDescent="0.25">
      <c r="A50" s="6" t="s">
        <v>43</v>
      </c>
      <c r="B50" s="7">
        <f>B35-B49</f>
        <v>0</v>
      </c>
    </row>
    <row r="51" spans="1:2" x14ac:dyDescent="0.25">
      <c r="A51" s="6" t="s">
        <v>44</v>
      </c>
      <c r="B51" s="8">
        <f>B50</f>
        <v>0</v>
      </c>
    </row>
    <row r="53" spans="1:2" x14ac:dyDescent="0.25">
      <c r="A53" s="2" t="s">
        <v>45</v>
      </c>
      <c r="B53" s="5">
        <f>B15*0.12</f>
        <v>0</v>
      </c>
    </row>
    <row r="54" spans="1:2" x14ac:dyDescent="0.25">
      <c r="A54" s="2" t="s">
        <v>46</v>
      </c>
      <c r="B54" s="5">
        <f>B15*0.03</f>
        <v>0</v>
      </c>
    </row>
    <row r="55" spans="1:2" x14ac:dyDescent="0.25">
      <c r="A55" s="2" t="s">
        <v>47</v>
      </c>
      <c r="B55" s="5">
        <v>0</v>
      </c>
    </row>
    <row r="56" spans="1:2" x14ac:dyDescent="0.25">
      <c r="A56" s="2" t="s">
        <v>48</v>
      </c>
      <c r="B56" s="5">
        <v>0</v>
      </c>
    </row>
    <row r="57" spans="1:2" x14ac:dyDescent="0.25">
      <c r="A57" s="2" t="s">
        <v>49</v>
      </c>
      <c r="B57" s="5">
        <v>0</v>
      </c>
    </row>
  </sheetData>
  <pageMargins left="0.25" right="0.25" top="0.75" bottom="0.75" header="0.3" footer="0.3"/>
  <pageSetup paperSize="9" scale="8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Payslip</vt:lpstr>
      <vt:lpstr>Payslip!Print_Area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Sewwandi Nethmini</cp:lastModifiedBy>
  <cp:revision>0</cp:revision>
  <cp:lastPrinted>2026-07-16T08:33:18Z</cp:lastPrinted>
  <dcterms:created xsi:type="dcterms:W3CDTF">2026-07-10T11:16:22Z</dcterms:created>
  <dcterms:modified xsi:type="dcterms:W3CDTF">2026-07-16T09:13:25Z</dcterms:modified>
  <dc:language>en-US</dc:language>
</cp:coreProperties>
</file>