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NotDelete\madushankad\Desktop\"/>
    </mc:Choice>
  </mc:AlternateContent>
  <xr:revisionPtr revIDLastSave="0" documentId="13_ncr:1_{16685FFD-CA04-4724-A3E6-FABA5C4DE3D2}" xr6:coauthVersionLast="47" xr6:coauthVersionMax="47" xr10:uidLastSave="{00000000-0000-0000-0000-000000000000}"/>
  <bookViews>
    <workbookView xWindow="-110" yWindow="-110" windowWidth="19420" windowHeight="10300" xr2:uid="{28C0410D-F644-4837-B086-BC1E70162B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B3" i="1" l="1"/>
  <c r="BB4" i="1"/>
  <c r="BB5" i="1"/>
  <c r="BB6" i="1"/>
  <c r="BB7" i="1"/>
  <c r="BB8" i="1"/>
  <c r="BH8" i="1" s="1"/>
  <c r="BE8" i="1" s="1"/>
  <c r="BB9" i="1"/>
  <c r="BB10" i="1"/>
  <c r="BH10" i="1" s="1"/>
  <c r="BE10" i="1" s="1"/>
  <c r="BB11" i="1"/>
  <c r="BB12" i="1"/>
  <c r="BH12" i="1" s="1"/>
  <c r="BE12" i="1" s="1"/>
  <c r="AR4" i="1"/>
  <c r="AR5" i="1"/>
  <c r="AR6" i="1"/>
  <c r="AR7" i="1"/>
  <c r="BH7" i="1" s="1"/>
  <c r="BE7" i="1" s="1"/>
  <c r="AR8" i="1"/>
  <c r="AR9" i="1"/>
  <c r="AR10" i="1"/>
  <c r="AR11" i="1"/>
  <c r="AR12" i="1"/>
  <c r="AR3" i="1"/>
  <c r="BJ12" i="1"/>
  <c r="BI12" i="1"/>
  <c r="AM12" i="1"/>
  <c r="AC12" i="1"/>
  <c r="Z12" i="1"/>
  <c r="M12" i="1"/>
  <c r="G12" i="1"/>
  <c r="BJ11" i="1"/>
  <c r="BI11" i="1"/>
  <c r="AM11" i="1"/>
  <c r="AC11" i="1"/>
  <c r="Z11" i="1"/>
  <c r="M11" i="1"/>
  <c r="G11" i="1"/>
  <c r="BJ10" i="1"/>
  <c r="BI10" i="1"/>
  <c r="AM10" i="1"/>
  <c r="AC10" i="1"/>
  <c r="Z10" i="1"/>
  <c r="M10" i="1"/>
  <c r="G10" i="1"/>
  <c r="BJ9" i="1"/>
  <c r="BI9" i="1"/>
  <c r="AM9" i="1"/>
  <c r="AC9" i="1"/>
  <c r="Z9" i="1"/>
  <c r="M9" i="1"/>
  <c r="G9" i="1"/>
  <c r="BJ8" i="1"/>
  <c r="BI8" i="1"/>
  <c r="AM8" i="1"/>
  <c r="AC8" i="1"/>
  <c r="Z8" i="1"/>
  <c r="M8" i="1"/>
  <c r="G8" i="1"/>
  <c r="BJ7" i="1"/>
  <c r="BI7" i="1"/>
  <c r="AM7" i="1"/>
  <c r="AC7" i="1"/>
  <c r="Z7" i="1"/>
  <c r="M7" i="1"/>
  <c r="G7" i="1"/>
  <c r="BJ6" i="1"/>
  <c r="BI6" i="1"/>
  <c r="BH6" i="1"/>
  <c r="BE6" i="1" s="1"/>
  <c r="AM6" i="1"/>
  <c r="AC6" i="1"/>
  <c r="Z6" i="1"/>
  <c r="M6" i="1"/>
  <c r="G6" i="1"/>
  <c r="BJ5" i="1"/>
  <c r="BI5" i="1"/>
  <c r="BH5" i="1"/>
  <c r="BE5" i="1" s="1"/>
  <c r="AM5" i="1"/>
  <c r="AC5" i="1"/>
  <c r="Z5" i="1"/>
  <c r="M5" i="1"/>
  <c r="G5" i="1"/>
  <c r="BJ4" i="1"/>
  <c r="BI4" i="1"/>
  <c r="BH4" i="1"/>
  <c r="BE4" i="1" s="1"/>
  <c r="AM4" i="1"/>
  <c r="AC4" i="1"/>
  <c r="Z4" i="1"/>
  <c r="M4" i="1"/>
  <c r="G4" i="1"/>
  <c r="BJ3" i="1"/>
  <c r="BI3" i="1"/>
  <c r="AM3" i="1"/>
  <c r="AC3" i="1"/>
  <c r="Z3" i="1"/>
  <c r="M3" i="1"/>
  <c r="G3" i="1"/>
  <c r="BH9" i="1" l="1"/>
  <c r="BE9" i="1" s="1"/>
  <c r="BH11" i="1"/>
  <c r="BE11" i="1" s="1"/>
  <c r="BH3" i="1"/>
  <c r="BE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Sajith</author>
  </authors>
  <commentList>
    <comment ref="U2" authorId="0" shapeId="0" xr:uid="{9EFCA8CB-F135-40ED-9575-E3EE25B9ED96}">
      <text>
        <r>
          <rPr>
            <b/>
            <sz val="9"/>
            <color indexed="81"/>
            <rFont val="Tahoma"/>
            <family val="2"/>
          </rPr>
          <t>Sajith:</t>
        </r>
        <r>
          <rPr>
            <sz val="9"/>
            <color indexed="81"/>
            <rFont val="Tahoma"/>
            <family val="2"/>
          </rPr>
          <t xml:space="preserve">
potion which not affect to basic salary</t>
        </r>
      </text>
    </comment>
  </commentList>
</comments>
</file>

<file path=xl/sharedStrings.xml><?xml version="1.0" encoding="utf-8"?>
<sst xmlns="http://schemas.openxmlformats.org/spreadsheetml/2006/main" count="97" uniqueCount="88">
  <si>
    <t>Payslip - Month of June 2026</t>
  </si>
  <si>
    <t>EPF</t>
  </si>
  <si>
    <t>Name</t>
  </si>
  <si>
    <t>Signature</t>
  </si>
  <si>
    <t>BRA+ Anodizing+Salary</t>
  </si>
  <si>
    <t>Minimum Wages Increment</t>
  </si>
  <si>
    <t xml:space="preserve">Salary increment </t>
  </si>
  <si>
    <t>Grading Basic Areas</t>
  </si>
  <si>
    <t>OT Arreares(Salary Adj)</t>
  </si>
  <si>
    <t>BRAWA ADJ</t>
  </si>
  <si>
    <t>Areas</t>
  </si>
  <si>
    <t>B Holiday</t>
  </si>
  <si>
    <t>B Holiday 1</t>
  </si>
  <si>
    <t>NOT</t>
  </si>
  <si>
    <t>Double OT</t>
  </si>
  <si>
    <t>Normal Night Shift No</t>
  </si>
  <si>
    <t>24 night Shif No</t>
  </si>
  <si>
    <t>Over Pymnt +</t>
  </si>
  <si>
    <t>Sunday (Off)</t>
  </si>
  <si>
    <t>Salary arrears</t>
  </si>
  <si>
    <t>Poya+M</t>
  </si>
  <si>
    <t>Tailoring Fee</t>
  </si>
  <si>
    <t>Mercantile Special Payment</t>
  </si>
  <si>
    <t>Mercantile</t>
  </si>
  <si>
    <t>OT arreys</t>
  </si>
  <si>
    <t>OT arreys 1</t>
  </si>
  <si>
    <t>Nopay Revise</t>
  </si>
  <si>
    <t>No pay deduction</t>
  </si>
  <si>
    <t>No pay deduction 1</t>
  </si>
  <si>
    <t>Covid leave deduction</t>
  </si>
  <si>
    <t>Casual Leaves days</t>
  </si>
  <si>
    <t>Chemical Allowance</t>
  </si>
  <si>
    <t>Export Loading Allowances</t>
  </si>
  <si>
    <t>Refund ICEU Amount</t>
  </si>
  <si>
    <t>Team Leader Allowance</t>
  </si>
  <si>
    <t>powder incentive</t>
  </si>
  <si>
    <t>Extrusion Allowance</t>
  </si>
  <si>
    <t>Melt Allowance</t>
  </si>
  <si>
    <t>Melt Allowance 1</t>
  </si>
  <si>
    <t>Production %</t>
  </si>
  <si>
    <t>Attendance %</t>
  </si>
  <si>
    <t>gross salary 1.</t>
  </si>
  <si>
    <t>Tot. for EPF</t>
  </si>
  <si>
    <t>EPF 8%</t>
  </si>
  <si>
    <t>Paye tax</t>
  </si>
  <si>
    <t>festival advance</t>
  </si>
  <si>
    <t>Meals</t>
  </si>
  <si>
    <t>Salary Advance</t>
  </si>
  <si>
    <t>Vison Care Amount</t>
  </si>
  <si>
    <t>Over pymnt  deduct</t>
  </si>
  <si>
    <t>Other deduction (TP &amp; Mobile phone &amp; Bonus Adv )</t>
  </si>
  <si>
    <t>Festival Advance - claim from guarantors</t>
  </si>
  <si>
    <t>welfare</t>
  </si>
  <si>
    <t>welfare 1</t>
  </si>
  <si>
    <t>ICEU Member fee</t>
  </si>
  <si>
    <t>Stamp duty</t>
  </si>
  <si>
    <t>Net Sal</t>
  </si>
  <si>
    <t>EPF 12</t>
  </si>
  <si>
    <t>ETF 3</t>
  </si>
  <si>
    <t>Total Deduction</t>
  </si>
  <si>
    <t>Rate N.o.t</t>
  </si>
  <si>
    <t>Rate per D.O.t</t>
  </si>
  <si>
    <t>Rate per n. shift</t>
  </si>
  <si>
    <t>Rate per 24 hrs</t>
  </si>
  <si>
    <t>Rate per L/L</t>
  </si>
  <si>
    <t>Night Shift</t>
  </si>
  <si>
    <t>Saturday</t>
  </si>
  <si>
    <t>L/L</t>
  </si>
  <si>
    <t>OT</t>
  </si>
  <si>
    <t>DOT</t>
  </si>
  <si>
    <t>Poya</t>
  </si>
  <si>
    <t>Poya+ Mer</t>
  </si>
  <si>
    <t>No pay days</t>
  </si>
  <si>
    <t>Casual leaves</t>
  </si>
  <si>
    <t>Accounts</t>
  </si>
  <si>
    <t>Anodizing</t>
  </si>
  <si>
    <t>Melting</t>
  </si>
  <si>
    <t>Packing</t>
  </si>
  <si>
    <t>ABC</t>
  </si>
  <si>
    <t>AB</t>
  </si>
  <si>
    <t>CD</t>
  </si>
  <si>
    <t>ABCD</t>
  </si>
  <si>
    <t>CCB</t>
  </si>
  <si>
    <t>CEB</t>
  </si>
  <si>
    <t>ABV</t>
  </si>
  <si>
    <t>BYD</t>
  </si>
  <si>
    <t>AMV</t>
  </si>
  <si>
    <t>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</si>
</sst>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52">
    <xf numFmtId="0" fontId="0" fillId="0" borderId="0" xfId="0"/>
    <xf numFmtId="43" fontId="3" fillId="0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6" fillId="0" borderId="4" xfId="2" applyFont="1" applyFill="1" applyBorder="1" applyAlignment="1">
      <alignment horizontal="center" vertical="center"/>
    </xf>
    <xf numFmtId="1" fontId="8" fillId="0" borderId="5" xfId="0" applyNumberFormat="1" applyFont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43" fontId="3" fillId="2" borderId="1" xfId="1" applyFont="1" applyFill="1" applyBorder="1" applyAlignment="1">
      <alignment horizontal="center"/>
    </xf>
    <xf numFmtId="43" fontId="3" fillId="0" borderId="1" xfId="1" applyFont="1" applyBorder="1" applyAlignment="1">
      <alignment horizontal="center"/>
    </xf>
    <xf numFmtId="1" fontId="8" fillId="0" borderId="1" xfId="0" applyNumberFormat="1" applyFont="1" applyBorder="1" applyAlignment="1">
      <alignment vertical="center"/>
    </xf>
    <xf numFmtId="2" fontId="3" fillId="2" borderId="1" xfId="1" applyNumberFormat="1" applyFont="1" applyFill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43" fontId="3" fillId="2" borderId="0" xfId="1" applyFont="1" applyFill="1" applyBorder="1" applyAlignment="1">
      <alignment horizontal="center" vertical="center"/>
    </xf>
    <xf numFmtId="1" fontId="3" fillId="2" borderId="0" xfId="1" applyNumberFormat="1" applyFont="1" applyFill="1" applyBorder="1" applyAlignment="1">
      <alignment horizontal="center" vertical="center"/>
    </xf>
    <xf numFmtId="165" fontId="3" fillId="2" borderId="0" xfId="1" applyNumberFormat="1" applyFont="1" applyFill="1" applyBorder="1" applyAlignment="1">
      <alignment horizontal="center" vertical="center"/>
    </xf>
    <xf numFmtId="2" fontId="3" fillId="2" borderId="0" xfId="1" applyNumberFormat="1" applyFont="1" applyFill="1" applyBorder="1" applyAlignment="1">
      <alignment horizontal="center" vertical="center"/>
    </xf>
    <xf numFmtId="2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2" fontId="3" fillId="2" borderId="0" xfId="0" applyNumberFormat="1" applyFont="1" applyFill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3" fontId="3" fillId="0" borderId="8" xfId="1" applyFont="1" applyFill="1" applyBorder="1" applyAlignment="1">
      <alignment horizontal="center" vertical="center"/>
    </xf>
    <xf numFmtId="43" fontId="3" fillId="0" borderId="7" xfId="1" applyFont="1" applyFill="1" applyBorder="1" applyAlignment="1">
      <alignment horizontal="center" vertical="center"/>
    </xf>
    <xf numFmtId="1" fontId="3" fillId="0" borderId="7" xfId="1" applyNumberFormat="1" applyFont="1" applyFill="1" applyBorder="1" applyAlignment="1">
      <alignment horizontal="center" vertical="center"/>
    </xf>
    <xf numFmtId="165" fontId="3" fillId="0" borderId="7" xfId="1" applyNumberFormat="1" applyFont="1" applyFill="1" applyBorder="1" applyAlignment="1">
      <alignment horizontal="center" vertical="center"/>
    </xf>
    <xf numFmtId="2" fontId="3" fillId="0" borderId="7" xfId="1" applyNumberFormat="1" applyFont="1" applyFill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43" fontId="3" fillId="0" borderId="10" xfId="1" applyFont="1" applyFill="1" applyBorder="1" applyAlignment="1">
      <alignment horizontal="center" vertical="center"/>
    </xf>
    <xf numFmtId="43" fontId="3" fillId="0" borderId="6" xfId="1" applyFont="1" applyFill="1" applyBorder="1" applyAlignment="1">
      <alignment horizontal="center" vertical="center"/>
    </xf>
    <xf numFmtId="43" fontId="3" fillId="0" borderId="5" xfId="1" applyFont="1" applyFill="1" applyBorder="1" applyAlignment="1">
      <alignment horizontal="center" vertical="center"/>
    </xf>
    <xf numFmtId="43" fontId="3" fillId="0" borderId="5" xfId="1" applyFont="1" applyFill="1" applyBorder="1" applyAlignment="1">
      <alignment horizontal="center"/>
    </xf>
    <xf numFmtId="43" fontId="3" fillId="2" borderId="5" xfId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2" fontId="3" fillId="2" borderId="5" xfId="0" applyNumberFormat="1" applyFont="1" applyFill="1" applyBorder="1" applyAlignment="1">
      <alignment horizont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43" fontId="11" fillId="3" borderId="2" xfId="1" applyFont="1" applyFill="1" applyBorder="1" applyAlignment="1">
      <alignment horizontal="center" vertical="center"/>
    </xf>
    <xf numFmtId="1" fontId="11" fillId="3" borderId="2" xfId="1" applyNumberFormat="1" applyFont="1" applyFill="1" applyBorder="1" applyAlignment="1">
      <alignment horizontal="center" vertical="center"/>
    </xf>
    <xf numFmtId="165" fontId="11" fillId="3" borderId="2" xfId="1" applyNumberFormat="1" applyFont="1" applyFill="1" applyBorder="1" applyAlignment="1">
      <alignment horizontal="center" vertical="center"/>
    </xf>
    <xf numFmtId="2" fontId="11" fillId="3" borderId="2" xfId="1" applyNumberFormat="1" applyFont="1" applyFill="1" applyBorder="1" applyAlignment="1">
      <alignment horizontal="center" vertical="center"/>
    </xf>
    <xf numFmtId="43" fontId="11" fillId="3" borderId="2" xfId="1" applyFont="1" applyFill="1" applyBorder="1" applyAlignment="1">
      <alignment horizontal="center" vertical="center" wrapText="1"/>
    </xf>
    <xf numFmtId="2" fontId="11" fillId="3" borderId="2" xfId="0" applyNumberFormat="1" applyFont="1" applyFill="1" applyBorder="1" applyAlignment="1">
      <alignment horizontal="center" vertical="center"/>
    </xf>
  </cellXfs>
  <cellStyles count="3">
    <cellStyle name="Comma" xfId="1" builtinId="3"/>
    <cellStyle name="Comma 17 2" xfId="2" xr:uid="{CE58E0BA-CDCF-4865-8C31-F27CDEC483A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3CBE-42E7-4338-AA1C-5C34BC8DF630}">
  <dimension ref="A1:BX12"/>
  <sheetViews>
    <sheetView tabSelected="1" zoomScale="55" zoomScaleNormal="55" workbookViewId="0">
      <selection activeCell="O12" sqref="O12"/>
    </sheetView>
  </sheetViews>
  <sheetFormatPr defaultColWidth="9.1796875" defaultRowHeight="12" x14ac:dyDescent="0.3"/>
  <cols>
    <col min="1" max="1" width="12.453125" style="15" customWidth="1"/>
    <col min="2" max="2" width="44.36328125" style="21" bestFit="1" customWidth="1"/>
    <col min="3" max="3" width="28.90625" style="15" customWidth="1"/>
    <col min="4" max="4" width="25" style="15" customWidth="1"/>
    <col min="5" max="5" width="23" style="16" customWidth="1"/>
    <col min="6" max="6" width="28" style="16" bestFit="1" customWidth="1"/>
    <col min="7" max="7" width="18.81640625" style="16" customWidth="1"/>
    <col min="8" max="8" width="13.7265625" style="17" customWidth="1"/>
    <col min="9" max="9" width="23.1796875" style="16" customWidth="1"/>
    <col min="10" max="10" width="15.26953125" style="16" customWidth="1"/>
    <col min="11" max="11" width="10.7265625" style="16" customWidth="1"/>
    <col min="12" max="13" width="13.26953125" style="16" customWidth="1"/>
    <col min="14" max="14" width="10.6328125" style="16" bestFit="1" customWidth="1"/>
    <col min="15" max="15" width="14.1796875" style="16" customWidth="1"/>
    <col min="16" max="16" width="22.1796875" style="18" customWidth="1"/>
    <col min="17" max="17" width="17.7265625" style="16" customWidth="1"/>
    <col min="18" max="18" width="16.1796875" style="16" customWidth="1"/>
    <col min="19" max="19" width="15.26953125" style="16" customWidth="1"/>
    <col min="20" max="20" width="16.453125" style="16" customWidth="1"/>
    <col min="21" max="21" width="12.453125" style="16" customWidth="1"/>
    <col min="22" max="22" width="14.7265625" style="19" customWidth="1"/>
    <col min="23" max="23" width="25.453125" style="19" customWidth="1"/>
    <col min="24" max="24" width="14.453125" style="16" customWidth="1"/>
    <col min="25" max="26" width="13.453125" style="16" customWidth="1"/>
    <col min="27" max="27" width="16" style="16" customWidth="1"/>
    <col min="28" max="29" width="18.81640625" style="16" customWidth="1"/>
    <col min="30" max="30" width="22" style="16" customWidth="1"/>
    <col min="31" max="31" width="19.81640625" style="16" customWidth="1"/>
    <col min="32" max="32" width="19.7265625" style="19" customWidth="1"/>
    <col min="33" max="33" width="25.54296875" style="16" customWidth="1"/>
    <col min="34" max="34" width="21.453125" style="16" customWidth="1"/>
    <col min="35" max="35" width="23.54296875" style="16" customWidth="1"/>
    <col min="36" max="37" width="18.1796875" style="16" customWidth="1"/>
    <col min="38" max="39" width="17" style="16" customWidth="1"/>
    <col min="40" max="40" width="15.81640625" style="16" customWidth="1"/>
    <col min="41" max="41" width="16.54296875" style="16" customWidth="1"/>
    <col min="42" max="42" width="13" style="16" customWidth="1"/>
    <col min="43" max="43" width="14.7265625" style="16" customWidth="1"/>
    <col min="44" max="44" width="11.7265625" style="16" customWidth="1"/>
    <col min="45" max="45" width="12.7265625" style="16" customWidth="1"/>
    <col min="46" max="46" width="17.81640625" style="16" customWidth="1"/>
    <col min="47" max="47" width="11" style="16" customWidth="1"/>
    <col min="48" max="48" width="17.26953125" style="16" customWidth="1"/>
    <col min="49" max="49" width="20.1796875" style="16" customWidth="1"/>
    <col min="50" max="51" width="20" style="16" customWidth="1"/>
    <col min="52" max="52" width="26.54296875" style="16" customWidth="1"/>
    <col min="53" max="54" width="12.1796875" style="16" customWidth="1"/>
    <col min="55" max="55" width="19.26953125" style="16" bestFit="1" customWidth="1"/>
    <col min="56" max="56" width="14.7265625" style="16" bestFit="1" customWidth="1"/>
    <col min="57" max="57" width="11.7265625" style="16" bestFit="1" customWidth="1"/>
    <col min="58" max="58" width="11.26953125" style="16" bestFit="1" customWidth="1"/>
    <col min="59" max="59" width="10.453125" style="16" bestFit="1" customWidth="1"/>
    <col min="60" max="60" width="17.81640625" style="16" bestFit="1" customWidth="1"/>
    <col min="61" max="61" width="13.1796875" style="20" bestFit="1" customWidth="1"/>
    <col min="62" max="62" width="16" style="20" bestFit="1" customWidth="1"/>
    <col min="63" max="63" width="17.81640625" style="15" bestFit="1" customWidth="1"/>
    <col min="64" max="64" width="17.453125" style="21" hidden="1" customWidth="1"/>
    <col min="65" max="65" width="14.26953125" style="22" hidden="1" customWidth="1"/>
    <col min="66" max="66" width="13.1796875" style="20" bestFit="1" customWidth="1"/>
    <col min="67" max="67" width="12.1796875" style="20" customWidth="1"/>
    <col min="68" max="68" width="8.81640625" style="16" bestFit="1" customWidth="1"/>
    <col min="69" max="69" width="8.7265625" style="16" bestFit="1" customWidth="1"/>
    <col min="70" max="70" width="9.81640625" style="16" bestFit="1" customWidth="1"/>
    <col min="71" max="71" width="9.1796875" style="20" bestFit="1"/>
    <col min="72" max="72" width="13.453125" style="20" bestFit="1" customWidth="1"/>
    <col min="73" max="73" width="13.26953125" style="20" bestFit="1" customWidth="1"/>
    <col min="74" max="74" width="10" style="20" bestFit="1" customWidth="1"/>
    <col min="75" max="75" width="15" style="16" bestFit="1" customWidth="1"/>
    <col min="76" max="76" width="15.81640625" style="16" bestFit="1" customWidth="1"/>
    <col min="77" max="16384" width="9.1796875" style="15"/>
  </cols>
  <sheetData>
    <row r="1" spans="1:76" ht="19" customHeight="1" x14ac:dyDescent="0.3">
      <c r="A1" s="27" t="s">
        <v>0</v>
      </c>
      <c r="B1" s="27"/>
      <c r="C1" s="27"/>
      <c r="D1" s="27"/>
      <c r="E1" s="28"/>
      <c r="F1" s="29"/>
      <c r="G1" s="29"/>
      <c r="H1" s="30"/>
      <c r="I1" s="29"/>
      <c r="J1" s="29"/>
      <c r="K1" s="29"/>
      <c r="L1" s="29"/>
      <c r="M1" s="29"/>
      <c r="N1" s="29"/>
      <c r="O1" s="29"/>
      <c r="P1" s="31"/>
      <c r="Q1" s="29"/>
      <c r="R1" s="29"/>
      <c r="S1" s="29"/>
      <c r="T1" s="29"/>
      <c r="U1" s="29"/>
      <c r="V1" s="32"/>
      <c r="W1" s="32"/>
      <c r="X1" s="29"/>
      <c r="Y1" s="29"/>
      <c r="Z1" s="29"/>
      <c r="AA1" s="29"/>
      <c r="AB1" s="29"/>
      <c r="AC1" s="29"/>
      <c r="AD1" s="29"/>
      <c r="AE1" s="29"/>
      <c r="AF1" s="32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33"/>
      <c r="BJ1" s="33"/>
      <c r="BK1" s="34"/>
      <c r="BL1" s="35"/>
      <c r="BM1" s="14"/>
      <c r="BN1" s="33"/>
      <c r="BO1" s="33"/>
      <c r="BP1" s="29"/>
      <c r="BQ1" s="29"/>
      <c r="BR1" s="29"/>
      <c r="BS1" s="33"/>
      <c r="BT1" s="33"/>
      <c r="BU1" s="33"/>
      <c r="BV1" s="33"/>
      <c r="BW1" s="36"/>
      <c r="BX1" s="37"/>
    </row>
    <row r="2" spans="1:76" ht="23.5" customHeight="1" x14ac:dyDescent="0.35">
      <c r="A2" s="26" t="s">
        <v>1</v>
      </c>
      <c r="B2" s="26" t="s">
        <v>2</v>
      </c>
      <c r="C2" s="26" t="s">
        <v>2</v>
      </c>
      <c r="D2" s="26" t="s">
        <v>3</v>
      </c>
      <c r="E2" s="46" t="s">
        <v>4</v>
      </c>
      <c r="F2" s="46" t="s">
        <v>5</v>
      </c>
      <c r="G2" s="46" t="s">
        <v>6</v>
      </c>
      <c r="H2" s="47" t="s">
        <v>7</v>
      </c>
      <c r="I2" s="46" t="s">
        <v>8</v>
      </c>
      <c r="J2" s="46" t="s">
        <v>9</v>
      </c>
      <c r="K2" s="46" t="s">
        <v>10</v>
      </c>
      <c r="L2" s="46" t="s">
        <v>11</v>
      </c>
      <c r="M2" s="46" t="s">
        <v>12</v>
      </c>
      <c r="N2" s="46" t="s">
        <v>13</v>
      </c>
      <c r="O2" s="46" t="s">
        <v>14</v>
      </c>
      <c r="P2" s="48" t="s">
        <v>15</v>
      </c>
      <c r="Q2" s="46" t="s">
        <v>16</v>
      </c>
      <c r="R2" s="46" t="s">
        <v>17</v>
      </c>
      <c r="S2" s="46" t="s">
        <v>18</v>
      </c>
      <c r="T2" s="46" t="s">
        <v>19</v>
      </c>
      <c r="U2" s="46" t="s">
        <v>20</v>
      </c>
      <c r="V2" s="49" t="s">
        <v>21</v>
      </c>
      <c r="W2" s="49" t="s">
        <v>22</v>
      </c>
      <c r="X2" s="46" t="s">
        <v>23</v>
      </c>
      <c r="Y2" s="46" t="s">
        <v>24</v>
      </c>
      <c r="Z2" s="46" t="s">
        <v>25</v>
      </c>
      <c r="AA2" s="46" t="s">
        <v>26</v>
      </c>
      <c r="AB2" s="46" t="s">
        <v>27</v>
      </c>
      <c r="AC2" s="46" t="s">
        <v>28</v>
      </c>
      <c r="AD2" s="46" t="s">
        <v>29</v>
      </c>
      <c r="AE2" s="46" t="s">
        <v>30</v>
      </c>
      <c r="AF2" s="49" t="s">
        <v>31</v>
      </c>
      <c r="AG2" s="46" t="s">
        <v>32</v>
      </c>
      <c r="AH2" s="46" t="s">
        <v>33</v>
      </c>
      <c r="AI2" s="46" t="s">
        <v>34</v>
      </c>
      <c r="AJ2" s="50" t="s">
        <v>35</v>
      </c>
      <c r="AK2" s="50" t="s">
        <v>36</v>
      </c>
      <c r="AL2" s="50" t="s">
        <v>37</v>
      </c>
      <c r="AM2" s="50" t="s">
        <v>38</v>
      </c>
      <c r="AN2" s="46" t="s">
        <v>39</v>
      </c>
      <c r="AO2" s="46" t="s">
        <v>40</v>
      </c>
      <c r="AP2" s="46" t="s">
        <v>41</v>
      </c>
      <c r="AQ2" s="46" t="s">
        <v>42</v>
      </c>
      <c r="AR2" s="46" t="s">
        <v>43</v>
      </c>
      <c r="AS2" s="46" t="s">
        <v>44</v>
      </c>
      <c r="AT2" s="46" t="s">
        <v>45</v>
      </c>
      <c r="AU2" s="46" t="s">
        <v>46</v>
      </c>
      <c r="AV2" s="46" t="s">
        <v>47</v>
      </c>
      <c r="AW2" s="46" t="s">
        <v>48</v>
      </c>
      <c r="AX2" s="50" t="s">
        <v>49</v>
      </c>
      <c r="AY2" s="50" t="s">
        <v>50</v>
      </c>
      <c r="AZ2" s="50" t="s">
        <v>51</v>
      </c>
      <c r="BA2" s="46" t="s">
        <v>52</v>
      </c>
      <c r="BB2" s="46" t="s">
        <v>53</v>
      </c>
      <c r="BC2" s="46" t="s">
        <v>54</v>
      </c>
      <c r="BD2" s="46" t="s">
        <v>55</v>
      </c>
      <c r="BE2" s="46" t="s">
        <v>56</v>
      </c>
      <c r="BF2" s="46" t="s">
        <v>57</v>
      </c>
      <c r="BG2" s="46" t="s">
        <v>58</v>
      </c>
      <c r="BH2" s="46" t="s">
        <v>59</v>
      </c>
      <c r="BI2" s="49" t="s">
        <v>60</v>
      </c>
      <c r="BJ2" s="49" t="s">
        <v>61</v>
      </c>
      <c r="BK2" s="46" t="s">
        <v>62</v>
      </c>
      <c r="BL2" s="46" t="s">
        <v>63</v>
      </c>
      <c r="BM2" s="49" t="s">
        <v>64</v>
      </c>
      <c r="BN2" s="51" t="s">
        <v>65</v>
      </c>
      <c r="BO2" s="51" t="s">
        <v>66</v>
      </c>
      <c r="BP2" s="46" t="s">
        <v>67</v>
      </c>
      <c r="BQ2" s="46" t="s">
        <v>68</v>
      </c>
      <c r="BR2" s="46" t="s">
        <v>69</v>
      </c>
      <c r="BS2" s="51" t="s">
        <v>70</v>
      </c>
      <c r="BT2" s="51" t="s">
        <v>23</v>
      </c>
      <c r="BU2" s="51" t="s">
        <v>71</v>
      </c>
      <c r="BV2" s="51" t="s">
        <v>46</v>
      </c>
      <c r="BW2" s="46" t="s">
        <v>72</v>
      </c>
      <c r="BX2" s="46" t="s">
        <v>73</v>
      </c>
    </row>
    <row r="3" spans="1:76" ht="25.5" customHeight="1" x14ac:dyDescent="0.3">
      <c r="A3" s="5">
        <v>1</v>
      </c>
      <c r="B3" s="25" t="s">
        <v>78</v>
      </c>
      <c r="C3" s="6" t="s">
        <v>74</v>
      </c>
      <c r="D3" s="7"/>
      <c r="E3" s="38">
        <v>10000</v>
      </c>
      <c r="F3" s="38"/>
      <c r="G3" s="38">
        <f t="shared" ref="G3:G12" si="0">E3+F3</f>
        <v>10000</v>
      </c>
      <c r="H3" s="38"/>
      <c r="I3" s="38">
        <v>1551.39375</v>
      </c>
      <c r="J3" s="38"/>
      <c r="K3" s="38"/>
      <c r="L3" s="38">
        <v>0</v>
      </c>
      <c r="M3" s="38">
        <f t="shared" ref="M3:M12" si="1">MROUND(L3,1)</f>
        <v>0</v>
      </c>
      <c r="N3" s="38">
        <v>13280.624999999998</v>
      </c>
      <c r="O3" s="38">
        <v>0</v>
      </c>
      <c r="P3" s="38">
        <v>225</v>
      </c>
      <c r="Q3" s="38">
        <v>0</v>
      </c>
      <c r="R3" s="38"/>
      <c r="S3" s="38">
        <v>0</v>
      </c>
      <c r="T3" s="38">
        <v>8530</v>
      </c>
      <c r="U3" s="38">
        <v>0</v>
      </c>
      <c r="V3" s="38"/>
      <c r="W3" s="38"/>
      <c r="X3" s="38"/>
      <c r="Y3" s="38">
        <v>1551.39375</v>
      </c>
      <c r="Z3" s="38">
        <f t="shared" ref="Z3:Z12" si="2">MROUND(Y3,1)</f>
        <v>1551</v>
      </c>
      <c r="AA3" s="38">
        <v>0</v>
      </c>
      <c r="AB3" s="38">
        <v>0</v>
      </c>
      <c r="AC3" s="38">
        <f t="shared" ref="AC3:AC12" si="3">MROUND(AB3,1)</f>
        <v>0</v>
      </c>
      <c r="AD3" s="38"/>
      <c r="AE3" s="38"/>
      <c r="AF3" s="38">
        <v>0</v>
      </c>
      <c r="AG3" s="38">
        <v>0</v>
      </c>
      <c r="AH3" s="38"/>
      <c r="AI3" s="38">
        <v>2500</v>
      </c>
      <c r="AJ3" s="38">
        <v>0</v>
      </c>
      <c r="AK3" s="38">
        <v>3000</v>
      </c>
      <c r="AL3" s="38">
        <v>0</v>
      </c>
      <c r="AM3" s="38">
        <f t="shared" ref="AM3:AM12" si="4">MROUND(AL3,1)</f>
        <v>0</v>
      </c>
      <c r="AN3" s="38">
        <v>17406.73</v>
      </c>
      <c r="AO3" s="39">
        <v>3000</v>
      </c>
      <c r="AP3" s="38">
        <v>78658.748749999999</v>
      </c>
      <c r="AQ3" s="38">
        <v>10000</v>
      </c>
      <c r="AR3" s="38">
        <f>AQ3*8%</f>
        <v>800</v>
      </c>
      <c r="AS3" s="38">
        <v>0</v>
      </c>
      <c r="AT3" s="38">
        <v>3500</v>
      </c>
      <c r="AU3" s="39">
        <v>1012.5</v>
      </c>
      <c r="AV3" s="39">
        <v>12000</v>
      </c>
      <c r="AW3" s="38"/>
      <c r="AX3" s="38"/>
      <c r="AY3" s="38"/>
      <c r="AZ3" s="38"/>
      <c r="BA3" s="38">
        <v>0</v>
      </c>
      <c r="BB3" s="38">
        <f>MROUND(BA3,1)</f>
        <v>0</v>
      </c>
      <c r="BC3" s="38">
        <v>0</v>
      </c>
      <c r="BD3" s="38">
        <v>25</v>
      </c>
      <c r="BE3" s="38">
        <f>AP3-BH3</f>
        <v>61321.248749999999</v>
      </c>
      <c r="BF3" s="40">
        <v>7300.2000000000007</v>
      </c>
      <c r="BG3" s="40">
        <v>1825.0500000000002</v>
      </c>
      <c r="BH3" s="38">
        <f>BC3+BB3+AX3+AW3+AU3+AT3+AS3+AR3+AZ3+AV3+AY3+BD3</f>
        <v>17337.5</v>
      </c>
      <c r="BI3" s="38">
        <f>E3/200*1.5</f>
        <v>75</v>
      </c>
      <c r="BJ3" s="38">
        <f>E3/200*2</f>
        <v>100</v>
      </c>
      <c r="BK3" s="38"/>
      <c r="BL3" s="41"/>
      <c r="BM3" s="42"/>
      <c r="BN3" s="43">
        <v>1</v>
      </c>
      <c r="BO3" s="43">
        <v>0</v>
      </c>
      <c r="BP3" s="43">
        <v>0</v>
      </c>
      <c r="BQ3" s="43">
        <v>50</v>
      </c>
      <c r="BR3" s="43">
        <v>0</v>
      </c>
      <c r="BS3" s="43">
        <v>0</v>
      </c>
      <c r="BT3" s="43">
        <v>0</v>
      </c>
      <c r="BU3" s="43">
        <v>0</v>
      </c>
      <c r="BV3" s="43">
        <v>1</v>
      </c>
      <c r="BW3" s="44">
        <v>0</v>
      </c>
      <c r="BX3" s="45">
        <v>1</v>
      </c>
    </row>
    <row r="4" spans="1:76" s="21" customFormat="1" ht="23" customHeight="1" x14ac:dyDescent="0.3">
      <c r="A4" s="5">
        <v>2</v>
      </c>
      <c r="B4" s="25" t="s">
        <v>79</v>
      </c>
      <c r="C4" s="6" t="s">
        <v>75</v>
      </c>
      <c r="D4" s="2"/>
      <c r="E4" s="1">
        <v>10000</v>
      </c>
      <c r="F4" s="10"/>
      <c r="G4" s="4">
        <f t="shared" si="0"/>
        <v>10000</v>
      </c>
      <c r="H4" s="4"/>
      <c r="I4" s="4">
        <v>1833.0249999999999</v>
      </c>
      <c r="J4" s="4"/>
      <c r="K4" s="4"/>
      <c r="L4" s="4">
        <v>0</v>
      </c>
      <c r="M4" s="4">
        <f t="shared" si="1"/>
        <v>0</v>
      </c>
      <c r="N4" s="4">
        <v>36505.08</v>
      </c>
      <c r="O4" s="4">
        <v>0</v>
      </c>
      <c r="P4" s="4">
        <v>2025</v>
      </c>
      <c r="Q4" s="4">
        <v>0</v>
      </c>
      <c r="R4" s="4"/>
      <c r="S4" s="4">
        <v>0</v>
      </c>
      <c r="T4" s="4">
        <v>9520</v>
      </c>
      <c r="U4" s="4">
        <v>0</v>
      </c>
      <c r="V4" s="4"/>
      <c r="W4" s="4"/>
      <c r="X4" s="4"/>
      <c r="Y4" s="4">
        <v>2148.12</v>
      </c>
      <c r="Z4" s="4">
        <f t="shared" si="2"/>
        <v>2148</v>
      </c>
      <c r="AA4" s="4">
        <v>0</v>
      </c>
      <c r="AB4" s="4">
        <v>0</v>
      </c>
      <c r="AC4" s="4">
        <f t="shared" si="3"/>
        <v>0</v>
      </c>
      <c r="AD4" s="4"/>
      <c r="AE4" s="4"/>
      <c r="AF4" s="4">
        <v>6103</v>
      </c>
      <c r="AG4" s="4">
        <v>0</v>
      </c>
      <c r="AH4" s="4"/>
      <c r="AI4" s="4">
        <v>0</v>
      </c>
      <c r="AJ4" s="4">
        <v>0</v>
      </c>
      <c r="AK4" s="4">
        <v>0</v>
      </c>
      <c r="AL4" s="4">
        <v>0</v>
      </c>
      <c r="AM4" s="4">
        <f t="shared" si="4"/>
        <v>0</v>
      </c>
      <c r="AN4" s="4">
        <v>17406.73</v>
      </c>
      <c r="AO4" s="4">
        <v>3000</v>
      </c>
      <c r="AP4" s="4">
        <v>85000</v>
      </c>
      <c r="AQ4" s="1">
        <v>10000</v>
      </c>
      <c r="AR4" s="1">
        <f t="shared" ref="AR4:AR12" si="5">AQ4*8%</f>
        <v>800</v>
      </c>
      <c r="AS4" s="4">
        <v>0</v>
      </c>
      <c r="AT4" s="1">
        <v>3500</v>
      </c>
      <c r="AU4" s="4">
        <v>1012.5</v>
      </c>
      <c r="AV4" s="4">
        <v>12000</v>
      </c>
      <c r="AW4" s="4"/>
      <c r="AX4" s="4"/>
      <c r="AY4" s="4"/>
      <c r="AZ4" s="4"/>
      <c r="BA4" s="4">
        <v>341.8439716312057</v>
      </c>
      <c r="BB4" s="4">
        <f>MROUND(BA4,1)</f>
        <v>342</v>
      </c>
      <c r="BC4" s="4">
        <v>200</v>
      </c>
      <c r="BD4" s="4">
        <v>25</v>
      </c>
      <c r="BE4" s="11">
        <f>AP4-BH4</f>
        <v>67120.5</v>
      </c>
      <c r="BF4" s="10">
        <v>7238.4000000000005</v>
      </c>
      <c r="BG4" s="10">
        <v>1809.6000000000001</v>
      </c>
      <c r="BH4" s="4">
        <f>BC4+BB4+AX4+AW4+AU4+AT4+AS4+AR4+AZ4+AV4+AY4+BD4</f>
        <v>17879.5</v>
      </c>
      <c r="BI4" s="11">
        <f>E4/200*1.5</f>
        <v>75</v>
      </c>
      <c r="BJ4" s="11">
        <f>E4/200*2</f>
        <v>100</v>
      </c>
      <c r="BK4" s="10"/>
      <c r="BL4" s="8"/>
      <c r="BM4" s="9"/>
      <c r="BN4" s="9">
        <v>9</v>
      </c>
      <c r="BO4" s="9">
        <v>0</v>
      </c>
      <c r="BP4" s="3">
        <v>0</v>
      </c>
      <c r="BQ4" s="3">
        <v>76</v>
      </c>
      <c r="BR4" s="3">
        <v>0</v>
      </c>
      <c r="BS4" s="3">
        <v>0</v>
      </c>
      <c r="BT4" s="3">
        <v>0</v>
      </c>
      <c r="BU4" s="3">
        <v>0</v>
      </c>
      <c r="BV4" s="3">
        <v>2</v>
      </c>
      <c r="BW4" s="24">
        <v>0</v>
      </c>
      <c r="BX4" s="23">
        <v>0</v>
      </c>
    </row>
    <row r="5" spans="1:76" s="21" customFormat="1" ht="23" customHeight="1" x14ac:dyDescent="0.3">
      <c r="A5" s="5">
        <v>3</v>
      </c>
      <c r="B5" s="25" t="s">
        <v>80</v>
      </c>
      <c r="C5" s="6" t="s">
        <v>75</v>
      </c>
      <c r="D5" s="2"/>
      <c r="E5" s="1">
        <v>10000</v>
      </c>
      <c r="F5" s="10"/>
      <c r="G5" s="4">
        <f t="shared" si="0"/>
        <v>10000</v>
      </c>
      <c r="H5" s="4"/>
      <c r="I5" s="4">
        <v>1833.0249999999999</v>
      </c>
      <c r="J5" s="4"/>
      <c r="K5" s="4"/>
      <c r="L5" s="4">
        <v>0</v>
      </c>
      <c r="M5" s="4">
        <f t="shared" si="1"/>
        <v>0</v>
      </c>
      <c r="N5" s="4">
        <v>26000.474999999999</v>
      </c>
      <c r="O5" s="4">
        <v>0</v>
      </c>
      <c r="P5" s="4">
        <v>2025</v>
      </c>
      <c r="Q5" s="4">
        <v>0</v>
      </c>
      <c r="R5" s="4"/>
      <c r="S5" s="4">
        <v>0</v>
      </c>
      <c r="T5" s="4">
        <v>9080</v>
      </c>
      <c r="U5" s="4">
        <v>0</v>
      </c>
      <c r="V5" s="4"/>
      <c r="W5" s="4"/>
      <c r="X5" s="4"/>
      <c r="Y5" s="4">
        <v>1362</v>
      </c>
      <c r="Z5" s="4">
        <f t="shared" si="2"/>
        <v>1362</v>
      </c>
      <c r="AA5" s="4">
        <v>0</v>
      </c>
      <c r="AB5" s="4">
        <v>0</v>
      </c>
      <c r="AC5" s="4">
        <f t="shared" si="3"/>
        <v>0</v>
      </c>
      <c r="AD5" s="4"/>
      <c r="AE5" s="4"/>
      <c r="AF5" s="4">
        <v>6103</v>
      </c>
      <c r="AG5" s="4">
        <v>0</v>
      </c>
      <c r="AH5" s="4"/>
      <c r="AI5" s="4">
        <v>0</v>
      </c>
      <c r="AJ5" s="4">
        <v>0</v>
      </c>
      <c r="AK5" s="4">
        <v>0</v>
      </c>
      <c r="AL5" s="4">
        <v>0</v>
      </c>
      <c r="AM5" s="4">
        <f t="shared" si="4"/>
        <v>0</v>
      </c>
      <c r="AN5" s="4">
        <v>17406.73</v>
      </c>
      <c r="AO5" s="4">
        <v>3000</v>
      </c>
      <c r="AP5" s="4">
        <v>75000</v>
      </c>
      <c r="AQ5" s="1">
        <v>10000</v>
      </c>
      <c r="AR5" s="1">
        <f t="shared" si="5"/>
        <v>800</v>
      </c>
      <c r="AS5" s="4">
        <v>0</v>
      </c>
      <c r="AT5" s="1">
        <v>3500</v>
      </c>
      <c r="AU5" s="4">
        <v>1012.5</v>
      </c>
      <c r="AV5" s="4">
        <v>12000</v>
      </c>
      <c r="AW5" s="4"/>
      <c r="AX5" s="4"/>
      <c r="AY5" s="4"/>
      <c r="AZ5" s="4"/>
      <c r="BA5" s="4">
        <v>341.8439716312057</v>
      </c>
      <c r="BB5" s="4">
        <f>MROUND(BA5,1)</f>
        <v>342</v>
      </c>
      <c r="BC5" s="4">
        <v>200</v>
      </c>
      <c r="BD5" s="4">
        <v>25</v>
      </c>
      <c r="BE5" s="11">
        <f>AP5-BH5</f>
        <v>57120.5</v>
      </c>
      <c r="BF5" s="10">
        <v>8661.5999999999985</v>
      </c>
      <c r="BG5" s="10">
        <v>2165.3999999999996</v>
      </c>
      <c r="BH5" s="4">
        <f>BC5+BB5+AX5+AW5+AU5+AT5+AS5+AR5+AZ5+AV5+AY5+BD5</f>
        <v>17879.5</v>
      </c>
      <c r="BI5" s="11">
        <f>E5/200*1.5</f>
        <v>75</v>
      </c>
      <c r="BJ5" s="11">
        <f>E5/200*2</f>
        <v>100</v>
      </c>
      <c r="BK5" s="10"/>
      <c r="BL5" s="8"/>
      <c r="BM5" s="9"/>
      <c r="BN5" s="9">
        <v>9</v>
      </c>
      <c r="BO5" s="9">
        <v>0</v>
      </c>
      <c r="BP5" s="3">
        <v>0</v>
      </c>
      <c r="BQ5" s="3">
        <v>62</v>
      </c>
      <c r="BR5" s="3">
        <v>0</v>
      </c>
      <c r="BS5" s="3">
        <v>0</v>
      </c>
      <c r="BT5" s="3">
        <v>0</v>
      </c>
      <c r="BU5" s="3">
        <v>0</v>
      </c>
      <c r="BV5" s="3">
        <v>10</v>
      </c>
      <c r="BW5" s="24">
        <v>0</v>
      </c>
      <c r="BX5" s="23">
        <v>0</v>
      </c>
    </row>
    <row r="6" spans="1:76" s="21" customFormat="1" ht="23" customHeight="1" x14ac:dyDescent="0.3">
      <c r="A6" s="5">
        <v>4</v>
      </c>
      <c r="B6" s="25" t="s">
        <v>81</v>
      </c>
      <c r="C6" s="6" t="s">
        <v>75</v>
      </c>
      <c r="D6" s="2"/>
      <c r="E6" s="1">
        <v>10000</v>
      </c>
      <c r="F6" s="10"/>
      <c r="G6" s="4">
        <f t="shared" si="0"/>
        <v>10000</v>
      </c>
      <c r="H6" s="4"/>
      <c r="I6" s="4">
        <v>1833.0249999999999</v>
      </c>
      <c r="J6" s="4"/>
      <c r="K6" s="4"/>
      <c r="L6" s="4">
        <v>0</v>
      </c>
      <c r="M6" s="4">
        <f t="shared" si="1"/>
        <v>0</v>
      </c>
      <c r="N6" s="4">
        <v>21119.100000000002</v>
      </c>
      <c r="O6" s="4">
        <v>5000</v>
      </c>
      <c r="P6" s="4">
        <v>1800</v>
      </c>
      <c r="Q6" s="4">
        <v>0</v>
      </c>
      <c r="R6" s="4"/>
      <c r="S6" s="4">
        <v>0</v>
      </c>
      <c r="T6" s="4">
        <v>9520</v>
      </c>
      <c r="U6" s="4">
        <v>0</v>
      </c>
      <c r="V6" s="4"/>
      <c r="W6" s="4"/>
      <c r="X6" s="4"/>
      <c r="Y6" s="4">
        <v>1499.4</v>
      </c>
      <c r="Z6" s="4">
        <f t="shared" si="2"/>
        <v>1499</v>
      </c>
      <c r="AA6" s="4">
        <v>0</v>
      </c>
      <c r="AB6" s="4">
        <v>0</v>
      </c>
      <c r="AC6" s="4">
        <f t="shared" si="3"/>
        <v>0</v>
      </c>
      <c r="AD6" s="4"/>
      <c r="AE6" s="4"/>
      <c r="AF6" s="4"/>
      <c r="AG6" s="4">
        <v>6103</v>
      </c>
      <c r="AH6" s="4"/>
      <c r="AI6" s="4">
        <v>0</v>
      </c>
      <c r="AJ6" s="4">
        <v>0</v>
      </c>
      <c r="AK6" s="4">
        <v>0</v>
      </c>
      <c r="AL6" s="4">
        <v>0</v>
      </c>
      <c r="AM6" s="4">
        <f t="shared" si="4"/>
        <v>0</v>
      </c>
      <c r="AN6" s="4">
        <v>17406.73</v>
      </c>
      <c r="AO6" s="4">
        <v>3000</v>
      </c>
      <c r="AP6" s="4">
        <v>80000</v>
      </c>
      <c r="AQ6" s="1">
        <v>10000</v>
      </c>
      <c r="AR6" s="1">
        <f t="shared" si="5"/>
        <v>800</v>
      </c>
      <c r="AS6" s="4">
        <v>0</v>
      </c>
      <c r="AT6" s="1">
        <v>3500</v>
      </c>
      <c r="AU6" s="4">
        <v>1012.5</v>
      </c>
      <c r="AV6" s="4">
        <v>12000</v>
      </c>
      <c r="AW6" s="4"/>
      <c r="AX6" s="4"/>
      <c r="AY6" s="4"/>
      <c r="AZ6" s="4"/>
      <c r="BA6" s="4">
        <v>341.8439716312057</v>
      </c>
      <c r="BB6" s="4">
        <f>MROUND(BA6,1)</f>
        <v>342</v>
      </c>
      <c r="BC6" s="4">
        <v>200</v>
      </c>
      <c r="BD6" s="4">
        <v>25</v>
      </c>
      <c r="BE6" s="11">
        <f>AP6-BH6</f>
        <v>62120.5</v>
      </c>
      <c r="BF6" s="10">
        <v>7833.5999999999995</v>
      </c>
      <c r="BG6" s="10">
        <v>1958.3999999999999</v>
      </c>
      <c r="BH6" s="4">
        <f>BC6+BB6+AX6+AW6+AU6+AT6+AS6+AR6+AZ6+AV6+AY6+BD6</f>
        <v>17879.5</v>
      </c>
      <c r="BI6" s="11">
        <f>E6/200*1.5</f>
        <v>75</v>
      </c>
      <c r="BJ6" s="11">
        <f>E6/200*2</f>
        <v>100</v>
      </c>
      <c r="BK6" s="10"/>
      <c r="BL6" s="8"/>
      <c r="BM6" s="9"/>
      <c r="BN6" s="9">
        <v>8</v>
      </c>
      <c r="BO6" s="9">
        <v>0</v>
      </c>
      <c r="BP6" s="3">
        <v>0</v>
      </c>
      <c r="BQ6" s="3">
        <v>50.5</v>
      </c>
      <c r="BR6" s="3">
        <v>0</v>
      </c>
      <c r="BS6" s="3">
        <v>0</v>
      </c>
      <c r="BT6" s="3">
        <v>0</v>
      </c>
      <c r="BU6" s="3">
        <v>0</v>
      </c>
      <c r="BV6" s="3">
        <v>10</v>
      </c>
      <c r="BW6" s="24">
        <v>0</v>
      </c>
      <c r="BX6" s="23">
        <v>0</v>
      </c>
    </row>
    <row r="7" spans="1:76" s="21" customFormat="1" ht="23" customHeight="1" x14ac:dyDescent="0.3">
      <c r="A7" s="5">
        <v>5</v>
      </c>
      <c r="B7" s="25" t="s">
        <v>82</v>
      </c>
      <c r="C7" s="6" t="s">
        <v>77</v>
      </c>
      <c r="D7" s="12"/>
      <c r="E7" s="1">
        <v>10000</v>
      </c>
      <c r="F7" s="10"/>
      <c r="G7" s="4">
        <f t="shared" si="0"/>
        <v>10000</v>
      </c>
      <c r="H7" s="4"/>
      <c r="I7" s="4">
        <v>1833.0249999999999</v>
      </c>
      <c r="J7" s="4"/>
      <c r="K7" s="4"/>
      <c r="L7" s="4">
        <v>0</v>
      </c>
      <c r="M7" s="4">
        <f t="shared" si="1"/>
        <v>0</v>
      </c>
      <c r="N7" s="4">
        <v>15854.231250000001</v>
      </c>
      <c r="O7" s="4">
        <v>0</v>
      </c>
      <c r="P7" s="4">
        <v>1800</v>
      </c>
      <c r="Q7" s="4">
        <v>0</v>
      </c>
      <c r="R7" s="4"/>
      <c r="S7" s="4">
        <v>0</v>
      </c>
      <c r="T7" s="4">
        <v>8640</v>
      </c>
      <c r="U7" s="4">
        <v>0</v>
      </c>
      <c r="V7" s="4"/>
      <c r="W7" s="4"/>
      <c r="X7" s="4"/>
      <c r="Y7" s="4">
        <v>1344.6000000000004</v>
      </c>
      <c r="Z7" s="4">
        <f t="shared" si="2"/>
        <v>1345</v>
      </c>
      <c r="AA7" s="4">
        <v>0</v>
      </c>
      <c r="AB7" s="4">
        <v>0</v>
      </c>
      <c r="AC7" s="4">
        <f t="shared" si="3"/>
        <v>0</v>
      </c>
      <c r="AD7" s="4"/>
      <c r="AE7" s="4"/>
      <c r="AF7" s="4"/>
      <c r="AG7" s="4">
        <v>0</v>
      </c>
      <c r="AH7" s="4"/>
      <c r="AI7" s="4">
        <v>0</v>
      </c>
      <c r="AJ7" s="4">
        <v>0</v>
      </c>
      <c r="AK7" s="4">
        <v>0</v>
      </c>
      <c r="AL7" s="4">
        <v>4500</v>
      </c>
      <c r="AM7" s="4">
        <f t="shared" si="4"/>
        <v>4500</v>
      </c>
      <c r="AN7" s="4">
        <v>17406.73</v>
      </c>
      <c r="AO7" s="4">
        <v>3000</v>
      </c>
      <c r="AP7" s="4">
        <v>90000</v>
      </c>
      <c r="AQ7" s="1">
        <v>10000</v>
      </c>
      <c r="AR7" s="1">
        <f t="shared" si="5"/>
        <v>800</v>
      </c>
      <c r="AS7" s="4">
        <v>0</v>
      </c>
      <c r="AT7" s="1">
        <v>3500</v>
      </c>
      <c r="AU7" s="4">
        <v>1012.5</v>
      </c>
      <c r="AV7" s="4">
        <v>15000</v>
      </c>
      <c r="AW7" s="4"/>
      <c r="AX7" s="4"/>
      <c r="AY7" s="4"/>
      <c r="AZ7" s="4"/>
      <c r="BA7" s="4">
        <v>341.8439716312057</v>
      </c>
      <c r="BB7" s="4">
        <f>MROUND(BA7,1)</f>
        <v>342</v>
      </c>
      <c r="BC7" s="4">
        <v>0</v>
      </c>
      <c r="BD7" s="4">
        <v>25</v>
      </c>
      <c r="BE7" s="11">
        <f>AP7-BH7</f>
        <v>69320.5</v>
      </c>
      <c r="BF7" s="10">
        <v>7300.2000000000007</v>
      </c>
      <c r="BG7" s="10">
        <v>1825.0500000000002</v>
      </c>
      <c r="BH7" s="4">
        <f>BC7+BB7+AX7+AW7+AU7+AT7+AS7+AR7+AZ7+AV7+AY7+BD7</f>
        <v>20679.5</v>
      </c>
      <c r="BI7" s="11">
        <f>E7/200*1.5</f>
        <v>75</v>
      </c>
      <c r="BJ7" s="11">
        <f>E7/200*2</f>
        <v>100</v>
      </c>
      <c r="BK7" s="10"/>
      <c r="BL7" s="13"/>
      <c r="BM7" s="9"/>
      <c r="BN7" s="9">
        <v>8</v>
      </c>
      <c r="BO7" s="9">
        <v>0</v>
      </c>
      <c r="BP7" s="3">
        <v>0</v>
      </c>
      <c r="BQ7" s="3">
        <v>40.5</v>
      </c>
      <c r="BR7" s="3">
        <v>0</v>
      </c>
      <c r="BS7" s="3">
        <v>0</v>
      </c>
      <c r="BT7" s="3">
        <v>0</v>
      </c>
      <c r="BU7" s="3">
        <v>0</v>
      </c>
      <c r="BV7" s="3">
        <v>8</v>
      </c>
      <c r="BW7" s="24">
        <v>0</v>
      </c>
      <c r="BX7" s="23">
        <v>1</v>
      </c>
    </row>
    <row r="8" spans="1:76" s="21" customFormat="1" ht="23" customHeight="1" x14ac:dyDescent="0.3">
      <c r="A8" s="5">
        <v>6</v>
      </c>
      <c r="B8" s="25" t="s">
        <v>83</v>
      </c>
      <c r="C8" s="6" t="s">
        <v>77</v>
      </c>
      <c r="D8" s="12"/>
      <c r="E8" s="10">
        <v>20000</v>
      </c>
      <c r="F8" s="10"/>
      <c r="G8" s="4">
        <f t="shared" si="0"/>
        <v>20000</v>
      </c>
      <c r="H8" s="4"/>
      <c r="I8" s="4">
        <v>1413.0749999999998</v>
      </c>
      <c r="J8" s="4"/>
      <c r="K8" s="4"/>
      <c r="L8" s="4">
        <v>0</v>
      </c>
      <c r="M8" s="4">
        <f t="shared" si="1"/>
        <v>0</v>
      </c>
      <c r="N8" s="4">
        <v>23250.149999999998</v>
      </c>
      <c r="O8" s="4">
        <v>3000</v>
      </c>
      <c r="P8" s="4">
        <v>1800</v>
      </c>
      <c r="Q8" s="4">
        <v>0</v>
      </c>
      <c r="R8" s="4"/>
      <c r="S8" s="4">
        <v>0</v>
      </c>
      <c r="T8" s="4">
        <v>9080</v>
      </c>
      <c r="U8" s="4">
        <v>0</v>
      </c>
      <c r="V8" s="4"/>
      <c r="W8" s="4"/>
      <c r="X8" s="4"/>
      <c r="Y8" s="4">
        <v>1413.0749999999998</v>
      </c>
      <c r="Z8" s="4">
        <f t="shared" si="2"/>
        <v>1413</v>
      </c>
      <c r="AA8" s="4">
        <v>0</v>
      </c>
      <c r="AB8" s="4">
        <v>0</v>
      </c>
      <c r="AC8" s="4">
        <f t="shared" si="3"/>
        <v>0</v>
      </c>
      <c r="AD8" s="4"/>
      <c r="AE8" s="4"/>
      <c r="AF8" s="4">
        <v>6592</v>
      </c>
      <c r="AG8" s="4">
        <v>0</v>
      </c>
      <c r="AH8" s="4"/>
      <c r="AI8" s="4">
        <v>2500</v>
      </c>
      <c r="AJ8" s="4">
        <v>0</v>
      </c>
      <c r="AK8" s="4">
        <v>0</v>
      </c>
      <c r="AL8" s="4">
        <v>0</v>
      </c>
      <c r="AM8" s="4">
        <f t="shared" si="4"/>
        <v>0</v>
      </c>
      <c r="AN8" s="4">
        <v>17406.73</v>
      </c>
      <c r="AO8" s="4">
        <v>3000</v>
      </c>
      <c r="AP8" s="4">
        <v>75000</v>
      </c>
      <c r="AQ8" s="10">
        <v>20000</v>
      </c>
      <c r="AR8" s="1">
        <f t="shared" si="5"/>
        <v>1600</v>
      </c>
      <c r="AS8" s="4">
        <v>0</v>
      </c>
      <c r="AT8" s="1">
        <v>3500</v>
      </c>
      <c r="AU8" s="4">
        <v>1012.5</v>
      </c>
      <c r="AV8" s="4">
        <v>15000</v>
      </c>
      <c r="AW8" s="4"/>
      <c r="AX8" s="4"/>
      <c r="AY8" s="4"/>
      <c r="AZ8" s="4"/>
      <c r="BA8" s="4">
        <v>341.8439716312057</v>
      </c>
      <c r="BB8" s="4">
        <f>MROUND(BA8,1)</f>
        <v>342</v>
      </c>
      <c r="BC8" s="4">
        <v>0</v>
      </c>
      <c r="BD8" s="4">
        <v>25</v>
      </c>
      <c r="BE8" s="11">
        <f>AP8-BH8</f>
        <v>53520.5</v>
      </c>
      <c r="BF8" s="10">
        <v>7238.4000000000005</v>
      </c>
      <c r="BG8" s="10">
        <v>1809.6000000000001</v>
      </c>
      <c r="BH8" s="4">
        <f>BC8+BB8+AX8+AW8+AU8+AT8+AS8+AR8+AZ8+AV8+AY8+BD8</f>
        <v>21479.5</v>
      </c>
      <c r="BI8" s="11">
        <f>E8/200*1.5</f>
        <v>150</v>
      </c>
      <c r="BJ8" s="11">
        <f>E8/200*2</f>
        <v>200</v>
      </c>
      <c r="BK8" s="10"/>
      <c r="BL8" s="8"/>
      <c r="BM8" s="9"/>
      <c r="BN8" s="9">
        <v>8</v>
      </c>
      <c r="BO8" s="9">
        <v>0</v>
      </c>
      <c r="BP8" s="3">
        <v>0</v>
      </c>
      <c r="BQ8" s="3">
        <v>60.5</v>
      </c>
      <c r="BR8" s="3">
        <v>0</v>
      </c>
      <c r="BS8" s="3">
        <v>0</v>
      </c>
      <c r="BT8" s="3">
        <v>0</v>
      </c>
      <c r="BU8" s="3">
        <v>0</v>
      </c>
      <c r="BV8" s="3">
        <v>9</v>
      </c>
      <c r="BW8" s="24">
        <v>0</v>
      </c>
      <c r="BX8" s="23">
        <v>0</v>
      </c>
    </row>
    <row r="9" spans="1:76" s="21" customFormat="1" ht="23" customHeight="1" x14ac:dyDescent="0.3">
      <c r="A9" s="5">
        <v>7</v>
      </c>
      <c r="B9" s="25" t="s">
        <v>84</v>
      </c>
      <c r="C9" s="6" t="s">
        <v>77</v>
      </c>
      <c r="D9" s="12"/>
      <c r="E9" s="10">
        <v>20000</v>
      </c>
      <c r="F9" s="10"/>
      <c r="G9" s="4">
        <f t="shared" si="0"/>
        <v>20000</v>
      </c>
      <c r="H9" s="4"/>
      <c r="I9" s="4">
        <v>3693.5249999999996</v>
      </c>
      <c r="J9" s="4"/>
      <c r="K9" s="4"/>
      <c r="L9" s="4">
        <v>0</v>
      </c>
      <c r="M9" s="4">
        <f t="shared" si="1"/>
        <v>0</v>
      </c>
      <c r="N9" s="4">
        <v>28109.250000000004</v>
      </c>
      <c r="O9" s="4">
        <v>0</v>
      </c>
      <c r="P9" s="4">
        <v>2025</v>
      </c>
      <c r="Q9" s="4">
        <v>0</v>
      </c>
      <c r="R9" s="4"/>
      <c r="S9" s="4">
        <v>0</v>
      </c>
      <c r="T9" s="4">
        <v>9520</v>
      </c>
      <c r="U9" s="4">
        <v>0</v>
      </c>
      <c r="V9" s="4"/>
      <c r="W9" s="4"/>
      <c r="X9" s="4"/>
      <c r="Y9" s="4">
        <v>3693.5249999999996</v>
      </c>
      <c r="Z9" s="4">
        <f t="shared" si="2"/>
        <v>3694</v>
      </c>
      <c r="AA9" s="4">
        <v>0</v>
      </c>
      <c r="AB9" s="4">
        <v>0</v>
      </c>
      <c r="AC9" s="4">
        <f t="shared" si="3"/>
        <v>0</v>
      </c>
      <c r="AD9" s="4"/>
      <c r="AE9" s="4"/>
      <c r="AF9" s="4">
        <v>6109</v>
      </c>
      <c r="AG9" s="4">
        <v>0</v>
      </c>
      <c r="AH9" s="4"/>
      <c r="AI9" s="4">
        <v>0</v>
      </c>
      <c r="AJ9" s="4">
        <v>0</v>
      </c>
      <c r="AK9" s="4">
        <v>0</v>
      </c>
      <c r="AL9" s="4">
        <v>0</v>
      </c>
      <c r="AM9" s="4">
        <f t="shared" si="4"/>
        <v>0</v>
      </c>
      <c r="AN9" s="4">
        <v>17406.73</v>
      </c>
      <c r="AO9" s="4">
        <v>3000</v>
      </c>
      <c r="AP9" s="4">
        <v>75000</v>
      </c>
      <c r="AQ9" s="10">
        <v>20000</v>
      </c>
      <c r="AR9" s="1">
        <f t="shared" si="5"/>
        <v>1600</v>
      </c>
      <c r="AS9" s="4">
        <v>0</v>
      </c>
      <c r="AT9" s="1">
        <v>3500</v>
      </c>
      <c r="AU9" s="4">
        <v>1012.5</v>
      </c>
      <c r="AV9" s="4">
        <v>16000</v>
      </c>
      <c r="AW9" s="4"/>
      <c r="AX9" s="4"/>
      <c r="AY9" s="4"/>
      <c r="AZ9" s="4"/>
      <c r="BA9" s="4">
        <v>341.8439716312057</v>
      </c>
      <c r="BB9" s="4">
        <f>MROUND(BA9,1)</f>
        <v>342</v>
      </c>
      <c r="BC9" s="4">
        <v>0</v>
      </c>
      <c r="BD9" s="4">
        <v>25</v>
      </c>
      <c r="BE9" s="11">
        <f>AP9-BH9</f>
        <v>52520.5</v>
      </c>
      <c r="BF9" s="10">
        <v>8661.5999999999985</v>
      </c>
      <c r="BG9" s="10">
        <v>2165.3999999999996</v>
      </c>
      <c r="BH9" s="4">
        <f>BC9+BB9+AX9+AW9+AU9+AT9+AS9+AR9+AZ9+AV9+AY9+BD9</f>
        <v>22479.5</v>
      </c>
      <c r="BI9" s="11">
        <f>E9/200*1.5</f>
        <v>150</v>
      </c>
      <c r="BJ9" s="11">
        <f>E9/200*2</f>
        <v>200</v>
      </c>
      <c r="BK9" s="10"/>
      <c r="BL9" s="8"/>
      <c r="BM9" s="9"/>
      <c r="BN9" s="9">
        <v>9</v>
      </c>
      <c r="BO9" s="9">
        <v>0</v>
      </c>
      <c r="BP9" s="3">
        <v>0</v>
      </c>
      <c r="BQ9" s="3">
        <v>65</v>
      </c>
      <c r="BR9" s="3">
        <v>0</v>
      </c>
      <c r="BS9" s="3">
        <v>0</v>
      </c>
      <c r="BT9" s="3">
        <v>0</v>
      </c>
      <c r="BU9" s="3">
        <v>0</v>
      </c>
      <c r="BV9" s="3">
        <v>1</v>
      </c>
      <c r="BW9" s="24">
        <v>0</v>
      </c>
      <c r="BX9" s="23">
        <v>0</v>
      </c>
    </row>
    <row r="10" spans="1:76" s="21" customFormat="1" ht="23" customHeight="1" x14ac:dyDescent="0.3">
      <c r="A10" s="5">
        <v>8</v>
      </c>
      <c r="B10" s="25" t="s">
        <v>85</v>
      </c>
      <c r="C10" s="6" t="s">
        <v>77</v>
      </c>
      <c r="D10" s="12"/>
      <c r="E10" s="10">
        <v>20000</v>
      </c>
      <c r="F10" s="10"/>
      <c r="G10" s="4">
        <f t="shared" si="0"/>
        <v>20000</v>
      </c>
      <c r="H10" s="4"/>
      <c r="I10" s="1">
        <v>1551.39375</v>
      </c>
      <c r="J10" s="4"/>
      <c r="K10" s="4"/>
      <c r="L10" s="4">
        <v>0</v>
      </c>
      <c r="M10" s="4">
        <f t="shared" si="1"/>
        <v>0</v>
      </c>
      <c r="N10" s="4">
        <v>20820.862499999999</v>
      </c>
      <c r="O10" s="4">
        <v>0</v>
      </c>
      <c r="P10" s="4">
        <v>2025</v>
      </c>
      <c r="Q10" s="4">
        <v>0</v>
      </c>
      <c r="R10" s="4"/>
      <c r="S10" s="4">
        <v>0</v>
      </c>
      <c r="T10" s="4">
        <v>9080</v>
      </c>
      <c r="U10" s="4">
        <v>0</v>
      </c>
      <c r="V10" s="4"/>
      <c r="W10" s="4"/>
      <c r="X10" s="4"/>
      <c r="Y10" s="4">
        <v>1651.425</v>
      </c>
      <c r="Z10" s="4">
        <f t="shared" si="2"/>
        <v>1651</v>
      </c>
      <c r="AA10" s="4">
        <v>0</v>
      </c>
      <c r="AB10" s="4">
        <v>0</v>
      </c>
      <c r="AC10" s="4">
        <f t="shared" si="3"/>
        <v>0</v>
      </c>
      <c r="AD10" s="4"/>
      <c r="AE10" s="4"/>
      <c r="AF10" s="4"/>
      <c r="AG10" s="4">
        <v>0</v>
      </c>
      <c r="AH10" s="4"/>
      <c r="AI10" s="4">
        <v>0</v>
      </c>
      <c r="AJ10" s="4">
        <v>6592</v>
      </c>
      <c r="AK10" s="4">
        <v>0</v>
      </c>
      <c r="AL10" s="4">
        <v>0</v>
      </c>
      <c r="AM10" s="4">
        <f t="shared" si="4"/>
        <v>0</v>
      </c>
      <c r="AN10" s="4">
        <v>17406.73</v>
      </c>
      <c r="AO10" s="4">
        <v>3000</v>
      </c>
      <c r="AP10" s="4">
        <v>90000</v>
      </c>
      <c r="AQ10" s="10">
        <v>20000</v>
      </c>
      <c r="AR10" s="1">
        <f t="shared" si="5"/>
        <v>1600</v>
      </c>
      <c r="AS10" s="4">
        <v>0</v>
      </c>
      <c r="AT10" s="1">
        <v>3500</v>
      </c>
      <c r="AU10" s="4">
        <v>1012.5</v>
      </c>
      <c r="AV10" s="4">
        <v>16000</v>
      </c>
      <c r="AW10" s="4"/>
      <c r="AX10" s="4"/>
      <c r="AY10" s="4"/>
      <c r="AZ10" s="4"/>
      <c r="BA10" s="4">
        <v>341.8439716312057</v>
      </c>
      <c r="BB10" s="4">
        <f>MROUND(BA10,1)</f>
        <v>342</v>
      </c>
      <c r="BC10" s="4">
        <v>0</v>
      </c>
      <c r="BD10" s="4">
        <v>25</v>
      </c>
      <c r="BE10" s="11">
        <f>AP10-BH10</f>
        <v>67520.5</v>
      </c>
      <c r="BF10" s="10">
        <v>7316.4000000000005</v>
      </c>
      <c r="BG10" s="10">
        <v>1829.1000000000001</v>
      </c>
      <c r="BH10" s="4">
        <f>BC10+BB10+AX10+AW10+AU10+AT10+AS10+AR10+AZ10+AV10+AY10+BD10</f>
        <v>22479.5</v>
      </c>
      <c r="BI10" s="11">
        <f>E10/200*1.5</f>
        <v>150</v>
      </c>
      <c r="BJ10" s="11">
        <f>E10/200*2</f>
        <v>200</v>
      </c>
      <c r="BK10" s="10"/>
      <c r="BL10" s="8"/>
      <c r="BM10" s="9"/>
      <c r="BN10" s="9">
        <v>9</v>
      </c>
      <c r="BO10" s="9">
        <v>0</v>
      </c>
      <c r="BP10" s="3">
        <v>0</v>
      </c>
      <c r="BQ10" s="3">
        <v>53.5</v>
      </c>
      <c r="BR10" s="3">
        <v>0</v>
      </c>
      <c r="BS10" s="3">
        <v>0</v>
      </c>
      <c r="BT10" s="3">
        <v>0</v>
      </c>
      <c r="BU10" s="3">
        <v>0</v>
      </c>
      <c r="BV10" s="3">
        <v>9</v>
      </c>
      <c r="BW10" s="24">
        <v>0</v>
      </c>
      <c r="BX10" s="23">
        <v>0</v>
      </c>
    </row>
    <row r="11" spans="1:76" s="21" customFormat="1" ht="23" customHeight="1" x14ac:dyDescent="0.3">
      <c r="A11" s="5">
        <v>9</v>
      </c>
      <c r="B11" s="25" t="s">
        <v>86</v>
      </c>
      <c r="C11" s="6" t="s">
        <v>76</v>
      </c>
      <c r="D11" s="12"/>
      <c r="E11" s="10">
        <v>20000</v>
      </c>
      <c r="F11" s="10"/>
      <c r="G11" s="4">
        <f t="shared" si="0"/>
        <v>20000</v>
      </c>
      <c r="H11" s="4"/>
      <c r="I11" s="1">
        <v>1551.39375</v>
      </c>
      <c r="J11" s="4"/>
      <c r="K11" s="4"/>
      <c r="L11" s="4">
        <v>0</v>
      </c>
      <c r="M11" s="4">
        <f t="shared" si="1"/>
        <v>0</v>
      </c>
      <c r="N11" s="4">
        <v>26082.075000000004</v>
      </c>
      <c r="O11" s="4">
        <v>2000</v>
      </c>
      <c r="P11" s="4">
        <v>2025</v>
      </c>
      <c r="Q11" s="4">
        <v>0</v>
      </c>
      <c r="R11" s="4"/>
      <c r="S11" s="4">
        <v>0</v>
      </c>
      <c r="T11" s="4">
        <v>8640</v>
      </c>
      <c r="U11" s="4">
        <v>0</v>
      </c>
      <c r="V11" s="4"/>
      <c r="W11" s="4"/>
      <c r="X11" s="4"/>
      <c r="Y11" s="4">
        <v>3448.5</v>
      </c>
      <c r="Z11" s="4">
        <f t="shared" si="2"/>
        <v>3449</v>
      </c>
      <c r="AA11" s="4">
        <v>0</v>
      </c>
      <c r="AB11" s="4">
        <v>0</v>
      </c>
      <c r="AC11" s="4">
        <f t="shared" si="3"/>
        <v>0</v>
      </c>
      <c r="AD11" s="4"/>
      <c r="AE11" s="4"/>
      <c r="AF11" s="4"/>
      <c r="AG11" s="4">
        <v>0</v>
      </c>
      <c r="AH11" s="4"/>
      <c r="AI11" s="4">
        <v>0</v>
      </c>
      <c r="AJ11" s="4">
        <v>6109</v>
      </c>
      <c r="AK11" s="4">
        <v>0</v>
      </c>
      <c r="AL11" s="4">
        <v>0</v>
      </c>
      <c r="AM11" s="4">
        <f t="shared" si="4"/>
        <v>0</v>
      </c>
      <c r="AN11" s="4">
        <v>17406.73</v>
      </c>
      <c r="AO11" s="4">
        <v>3000</v>
      </c>
      <c r="AP11" s="4">
        <v>90000</v>
      </c>
      <c r="AQ11" s="10">
        <v>20000</v>
      </c>
      <c r="AR11" s="1">
        <f t="shared" si="5"/>
        <v>1600</v>
      </c>
      <c r="AS11" s="4">
        <v>0</v>
      </c>
      <c r="AT11" s="1">
        <v>3500</v>
      </c>
      <c r="AU11" s="4">
        <v>1012.5</v>
      </c>
      <c r="AV11" s="4">
        <v>16000</v>
      </c>
      <c r="AW11" s="4"/>
      <c r="AX11" s="4"/>
      <c r="AY11" s="4"/>
      <c r="AZ11" s="4"/>
      <c r="BA11" s="4">
        <v>341.8439716312057</v>
      </c>
      <c r="BB11" s="4">
        <f>MROUND(BA11,1)</f>
        <v>342</v>
      </c>
      <c r="BC11" s="4">
        <v>0</v>
      </c>
      <c r="BD11" s="4">
        <v>25</v>
      </c>
      <c r="BE11" s="11">
        <f>AP11-BH11</f>
        <v>67520.5</v>
      </c>
      <c r="BF11" s="10">
        <v>7833.5999999999995</v>
      </c>
      <c r="BG11" s="10">
        <v>1958.3999999999999</v>
      </c>
      <c r="BH11" s="4">
        <f>BC11+BB11+AX11+AW11+AU11+AT11+AS11+AR11+AZ11+AV11+AY11+BD11</f>
        <v>22479.5</v>
      </c>
      <c r="BI11" s="11">
        <f>E11/200*1.5</f>
        <v>150</v>
      </c>
      <c r="BJ11" s="11">
        <f>E11/200*2</f>
        <v>200</v>
      </c>
      <c r="BK11" s="10"/>
      <c r="BL11" s="8"/>
      <c r="BM11" s="9"/>
      <c r="BN11" s="9">
        <v>9</v>
      </c>
      <c r="BO11" s="9">
        <v>0</v>
      </c>
      <c r="BP11" s="3">
        <v>0</v>
      </c>
      <c r="BQ11" s="3">
        <v>61</v>
      </c>
      <c r="BR11" s="3">
        <v>0</v>
      </c>
      <c r="BS11" s="3">
        <v>0</v>
      </c>
      <c r="BT11" s="3">
        <v>0</v>
      </c>
      <c r="BU11" s="3">
        <v>0</v>
      </c>
      <c r="BV11" s="3">
        <v>9</v>
      </c>
      <c r="BW11" s="24">
        <v>0</v>
      </c>
      <c r="BX11" s="23">
        <v>0</v>
      </c>
    </row>
    <row r="12" spans="1:76" s="21" customFormat="1" ht="23" customHeight="1" x14ac:dyDescent="0.3">
      <c r="A12" s="5">
        <v>10</v>
      </c>
      <c r="B12" s="25" t="s">
        <v>87</v>
      </c>
      <c r="C12" s="6" t="s">
        <v>76</v>
      </c>
      <c r="D12" s="12"/>
      <c r="E12" s="10">
        <v>20000</v>
      </c>
      <c r="F12" s="10"/>
      <c r="G12" s="4">
        <f t="shared" si="0"/>
        <v>20000</v>
      </c>
      <c r="H12" s="4"/>
      <c r="I12" s="4">
        <v>1833.0249999999999</v>
      </c>
      <c r="J12" s="4"/>
      <c r="K12" s="4"/>
      <c r="L12" s="4">
        <v>0</v>
      </c>
      <c r="M12" s="4">
        <f t="shared" si="1"/>
        <v>0</v>
      </c>
      <c r="N12" s="4">
        <v>27060.074999999997</v>
      </c>
      <c r="O12" s="4">
        <v>0</v>
      </c>
      <c r="P12" s="4">
        <v>2025</v>
      </c>
      <c r="Q12" s="4">
        <v>0</v>
      </c>
      <c r="R12" s="4"/>
      <c r="S12" s="4">
        <v>0</v>
      </c>
      <c r="T12" s="4">
        <v>9080</v>
      </c>
      <c r="U12" s="4">
        <v>0</v>
      </c>
      <c r="V12" s="4"/>
      <c r="W12" s="4"/>
      <c r="X12" s="4"/>
      <c r="Y12" s="4">
        <v>1833.0249999999999</v>
      </c>
      <c r="Z12" s="4">
        <f t="shared" si="2"/>
        <v>1833</v>
      </c>
      <c r="AA12" s="4">
        <v>0</v>
      </c>
      <c r="AB12" s="4">
        <v>0</v>
      </c>
      <c r="AC12" s="4">
        <f t="shared" si="3"/>
        <v>0</v>
      </c>
      <c r="AD12" s="4"/>
      <c r="AE12" s="4"/>
      <c r="AF12" s="4">
        <v>6592</v>
      </c>
      <c r="AG12" s="4">
        <v>0</v>
      </c>
      <c r="AH12" s="4"/>
      <c r="AI12" s="4">
        <v>0</v>
      </c>
      <c r="AJ12" s="4">
        <v>0</v>
      </c>
      <c r="AK12" s="4">
        <v>0</v>
      </c>
      <c r="AL12" s="4">
        <v>0</v>
      </c>
      <c r="AM12" s="4">
        <f t="shared" si="4"/>
        <v>0</v>
      </c>
      <c r="AN12" s="4">
        <v>17406.73</v>
      </c>
      <c r="AO12" s="4">
        <v>3000</v>
      </c>
      <c r="AP12" s="4">
        <v>85000</v>
      </c>
      <c r="AQ12" s="10">
        <v>20000</v>
      </c>
      <c r="AR12" s="1">
        <f t="shared" si="5"/>
        <v>1600</v>
      </c>
      <c r="AS12" s="4">
        <v>0</v>
      </c>
      <c r="AT12" s="1">
        <v>3500</v>
      </c>
      <c r="AU12" s="4">
        <v>1012.5</v>
      </c>
      <c r="AV12" s="4">
        <v>10000</v>
      </c>
      <c r="AW12" s="4"/>
      <c r="AX12" s="4"/>
      <c r="AY12" s="4"/>
      <c r="AZ12" s="4"/>
      <c r="BA12" s="4">
        <v>341.8439716312057</v>
      </c>
      <c r="BB12" s="4">
        <f>MROUND(BA12,1)</f>
        <v>342</v>
      </c>
      <c r="BC12" s="4">
        <v>200</v>
      </c>
      <c r="BD12" s="4">
        <v>25</v>
      </c>
      <c r="BE12" s="11">
        <f>AP12-BH12</f>
        <v>68320.5</v>
      </c>
      <c r="BF12" s="10">
        <v>7833.5999999999995</v>
      </c>
      <c r="BG12" s="10">
        <v>1958.3999999999999</v>
      </c>
      <c r="BH12" s="4">
        <f>BC12+BB12+AX12+AW12+AU12+AT12+AS12+AR12+AZ12+AV12+AY12+BD12</f>
        <v>16679.5</v>
      </c>
      <c r="BI12" s="11">
        <f>E12/200*1.5</f>
        <v>150</v>
      </c>
      <c r="BJ12" s="11">
        <f>E12/200*2</f>
        <v>200</v>
      </c>
      <c r="BK12" s="10"/>
      <c r="BL12" s="9"/>
      <c r="BM12" s="9"/>
      <c r="BN12" s="9">
        <v>9</v>
      </c>
      <c r="BO12" s="9">
        <v>0</v>
      </c>
      <c r="BP12" s="3">
        <v>0</v>
      </c>
      <c r="BQ12" s="3">
        <v>69</v>
      </c>
      <c r="BR12" s="3">
        <v>0</v>
      </c>
      <c r="BS12" s="3">
        <v>0</v>
      </c>
      <c r="BT12" s="3">
        <v>0</v>
      </c>
      <c r="BU12" s="3">
        <v>0</v>
      </c>
      <c r="BV12" s="3">
        <v>9</v>
      </c>
      <c r="BW12" s="24">
        <v>0</v>
      </c>
      <c r="BX12" s="23">
        <v>0</v>
      </c>
    </row>
  </sheetData>
  <mergeCells count="1">
    <mergeCell ref="A1:D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Madushanka Dasanayaka</dc:creator>
  <cp:lastModifiedBy>Madushanka Dasanayaka</cp:lastModifiedBy>
  <dcterms:created xsi:type="dcterms:W3CDTF">2026-06-26T10:49:06Z</dcterms:created>
  <dcterms:modified xsi:type="dcterms:W3CDTF">2026-06-26T11:11:59Z</dcterms:modified>
</cp:coreProperties>
</file>